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mits\Desktop\All quant workshop\Market Risk\FRTB\FRTB-Apr 2026-Delta,Vega, Curvature, all risk classes\Output data\SA capital charge\"/>
    </mc:Choice>
  </mc:AlternateContent>
  <xr:revisionPtr revIDLastSave="0" documentId="13_ncr:1_{960C96DC-EDE7-4876-B072-60BE76452C83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00_manifest" sheetId="1" r:id="rId1"/>
    <sheet name="10_input" sheetId="2" r:id="rId2"/>
    <sheet name="20_output" sheetId="3" r:id="rId3"/>
    <sheet name="30_audit" sheetId="4" r:id="rId4"/>
    <sheet name="40_reconciliation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A3" i="2" l="1"/>
  <c r="BA4" i="2"/>
  <c r="BA5" i="2"/>
  <c r="BA6" i="2"/>
  <c r="BA7" i="2"/>
  <c r="BA8" i="2"/>
  <c r="BA9" i="2"/>
  <c r="BA10" i="2"/>
  <c r="BA11" i="2"/>
  <c r="BA12" i="2"/>
  <c r="BA13" i="2"/>
  <c r="BA14" i="2"/>
  <c r="BA15" i="2"/>
  <c r="BA16" i="2"/>
  <c r="BA17" i="2"/>
  <c r="BA18" i="2"/>
  <c r="BA19" i="2"/>
  <c r="BA20" i="2"/>
  <c r="BA21" i="2"/>
  <c r="BA22" i="2"/>
  <c r="BA23" i="2"/>
  <c r="BA24" i="2"/>
  <c r="BA25" i="2"/>
  <c r="BA2" i="2"/>
  <c r="AT28" i="2"/>
</calcChain>
</file>

<file path=xl/sharedStrings.xml><?xml version="1.0" encoding="utf-8"?>
<sst xmlns="http://schemas.openxmlformats.org/spreadsheetml/2006/main" count="750" uniqueCount="263">
  <si>
    <t>key</t>
  </si>
  <si>
    <t>value</t>
  </si>
  <si>
    <t>phase_number</t>
  </si>
  <si>
    <t>phase_name</t>
  </si>
  <si>
    <t>Per-tranche offsetting (netting)</t>
  </si>
  <si>
    <t>regulatory_reference</t>
  </si>
  <si>
    <t>MAR22.28-29 (offsetting same securitisation exposure)</t>
  </si>
  <si>
    <t>source_module</t>
  </si>
  <si>
    <t>drc_securitisation/sec_engine.py [step 9b]</t>
  </si>
  <si>
    <t>input_files</t>
  </si>
  <si>
    <t>(previous phase output)</t>
  </si>
  <si>
    <t>rows_in</t>
  </si>
  <si>
    <t>rows_out</t>
  </si>
  <si>
    <t>columns_in</t>
  </si>
  <si>
    <t>columns_out</t>
  </si>
  <si>
    <t>run_timestamp</t>
  </si>
  <si>
    <t>2026-06-05T17:33:19</t>
  </si>
  <si>
    <t>notes</t>
  </si>
  <si>
    <t>PURE NETTING (MAR22.28-29): 20_output is ONE row per tranche_key (the netted result), not a per-position broadcast — row count drops #positions -&gt; #tranches, mirroring non-sec phase 3's per-obligor collapse. net_jtd_tranche = Σ maturity_scaled_jtd over the tranche (UN-weighted); max_netting_residual must be ~0. RW is applied in phase 7 (MAR22.25), not here. Perfect-hedge fixtures: v5 IDs (37,68) RMBS senior; (47,72) CC-ABS senior.</t>
  </si>
  <si>
    <t>ID</t>
  </si>
  <si>
    <t>Security</t>
  </si>
  <si>
    <t>FRTB_Bucket</t>
  </si>
  <si>
    <t>Long/Short</t>
  </si>
  <si>
    <t>Rating</t>
  </si>
  <si>
    <t>Issue Date</t>
  </si>
  <si>
    <t>Maturity</t>
  </si>
  <si>
    <t>Coupon/Rate (%)</t>
  </si>
  <si>
    <t>Underlying</t>
  </si>
  <si>
    <t>Attachment Pt (%)</t>
  </si>
  <si>
    <t>Detachment Pt (%)</t>
  </si>
  <si>
    <t>Pool ID</t>
  </si>
  <si>
    <t>Underlying Pool Type</t>
  </si>
  <si>
    <t>Seniority (DRC)</t>
  </si>
  <si>
    <t>DRC bucket</t>
  </si>
  <si>
    <t>Notes</t>
  </si>
  <si>
    <t>Notes.1</t>
  </si>
  <si>
    <t>Position Sub-Type</t>
  </si>
  <si>
    <t>signed_notional</t>
  </si>
  <si>
    <t>is_abcp_facility</t>
  </si>
  <si>
    <t>internal_credit_grade</t>
  </si>
  <si>
    <t>is_senior_derived</t>
  </si>
  <si>
    <t>M_T_for_drc</t>
  </si>
  <si>
    <t>M_T_position_years</t>
  </si>
  <si>
    <t>mat_scaling_factor</t>
  </si>
  <si>
    <t>pool_type</t>
  </si>
  <si>
    <t>is_stc_compliant</t>
  </si>
  <si>
    <t>W</t>
  </si>
  <si>
    <t>K_IRB</t>
  </si>
  <si>
    <t>K_SA</t>
  </si>
  <si>
    <t>N</t>
  </si>
  <si>
    <t>LGD</t>
  </si>
  <si>
    <t>nrppd_amount</t>
  </si>
  <si>
    <t>pool_outstanding</t>
  </si>
  <si>
    <t>jurisdiction</t>
  </si>
  <si>
    <t>is_originator_or_sponsor_deal</t>
  </si>
  <si>
    <t>dd_status</t>
  </si>
  <si>
    <t>is_npl_derived</t>
  </si>
  <si>
    <t>tranche_key</t>
  </si>
  <si>
    <t>drc_sec_bucket</t>
  </si>
  <si>
    <t>MV_USD</t>
  </si>
  <si>
    <t>dd_substantive_pass</t>
  </si>
  <si>
    <t>bank_has_irb_for_assetclass</t>
  </si>
  <si>
    <t>irb_modelable_share</t>
  </si>
  <si>
    <t>approach</t>
  </si>
  <si>
    <t>approach_reason</t>
  </si>
  <si>
    <t>rw</t>
  </si>
  <si>
    <t>rw_details</t>
  </si>
  <si>
    <t>npl_concession_applied</t>
  </si>
  <si>
    <t>npl_floor_applied</t>
  </si>
  <si>
    <t>standard_floor_applied</t>
  </si>
  <si>
    <t>maturity_scaled_jtd</t>
  </si>
  <si>
    <t>RMBS-2023-1-A (Senior)</t>
  </si>
  <si>
    <t>CSRSec:1</t>
  </si>
  <si>
    <t>Long</t>
  </si>
  <si>
    <t>AAA</t>
  </si>
  <si>
    <t>Prime Mortgage Trust 2023-1</t>
  </si>
  <si>
    <t>RMBS-2023-1</t>
  </si>
  <si>
    <t>RMBS</t>
  </si>
  <si>
    <t>Senior</t>
  </si>
  <si>
    <t>SecNonCTP:RMBS</t>
  </si>
  <si>
    <t>CSR Sec: Bkt 1 (Senior IG, RMBS-Prime) — AAA senior</t>
  </si>
  <si>
    <t>Senior tranche. Low RW per SecuritizaRW-LT table.</t>
  </si>
  <si>
    <t>Tranche</t>
  </si>
  <si>
    <t>RMBS_prime</t>
  </si>
  <si>
    <t>US</t>
  </si>
  <si>
    <t>pass</t>
  </si>
  <si>
    <t>RMBS-2023-1|A=15.0|D=100.0|T=Tranche</t>
  </si>
  <si>
    <t>North America | RMBS</t>
  </si>
  <si>
    <t>SEC-IRBA</t>
  </si>
  <si>
    <t>CRE40.42 fully IRB-modelable (irb_share=1.00) -&gt; SEC-IRBA</t>
  </si>
  <si>
    <t>{'approach': 'SEC-IRBA', 'K_IRB': 0.02, 'N': 5000.0, 'LGD': 0.25, 'M_T': 1.0, 'A': 0.15, 'D': 1.0, 'asset_class': 'Retail', 'seniority': 'Senior', 'granularity': 'n/a', 'p_coefficients': {'A_p': 0.0, 'B_p': 0.0, 'C_p': -7.48, 'D_p': 0.71, 'E_p': 0.24}, 'p_pre_floor': 0.26789999999999997, 'p_floor': 0.3, 'p': 0.3, 'is_senior_derived': True, 'is_stc': False, 'p_table_used': 'Table 1', 'case': 'CRE44.24(2) A&gt;=K_IRB', 'K_SSFA': 2.7480115269099283e-12, 'rw_pre_standard_floor': 3.4350144086374105e-11}
WRAPPER STACK (phase 4):
  rw_from_approach_module = 0.000000
  CRE40.50-51 look-through cap: not eligible -&gt; rw unchanged
  CRE41.15 / 42.7 / 44.26 standard floor: 0.150000 -&gt; BINDS, rw raised from 0.000000
  rw_final = 0.150000</t>
  </si>
  <si>
    <t>RMBS-2023-1-M (Mezz)</t>
  </si>
  <si>
    <t>CSRSec:9</t>
  </si>
  <si>
    <t>BBB</t>
  </si>
  <si>
    <t>Mezzanine</t>
  </si>
  <si>
    <t>CSR Sec: Bkt 9 (Non-senior IG, RMBS-Prime) — BBB mezz</t>
  </si>
  <si>
    <t>Mezzanine. Higher RW than senior.</t>
  </si>
  <si>
    <t>RMBS-2023-1|A=5.0|D=15.0|T=Tranche</t>
  </si>
  <si>
    <t>{'approach': 'SEC-IRBA', 'K_IRB': 0.02, 'N': 5000.0, 'LGD': 0.25, 'M_T': 1.0, 'A': 0.05, 'D': 0.15, 'asset_class': 'Retail', 'seniority': 'Non-senior', 'granularity': 'n/a', 'p_coefficients': {'A_p': 0.0, 'B_p': 0.0, 'C_p': -5.78, 'D_p': 0.55, 'E_p': 0.27}, 'p_pre_floor': 0.29190000000000005, 'p_floor': 0.3, 'p': 0.3, 'is_senior_derived': False, 'is_stc': False, 'p_table_used': 'Table 1', 'case': 'CRE44.24(2) A&gt;=K_IRB', 'K_SSFA': 0.00040427679658703, 'rw_pre_standard_floor': 0.005053459957337875}
WRAPPER STACK (phase 4):
  rw_from_approach_module = 0.005053
  CRE40.50-51 look-through cap: not eligible -&gt; rw unchanged
  CRE41.15 / 42.7 / 44.26 standard floor: 0.150000 -&gt; BINDS, rw raised from 0.005053
  rw_final = 0.150000</t>
  </si>
  <si>
    <t>RMBS-2023-1-B (Short Mezz)</t>
  </si>
  <si>
    <t>Short</t>
  </si>
  <si>
    <t>CSR Sec: Bkt 9 (Non-senior IG, RMBS-Prime) — BBB short mezz</t>
  </si>
  <si>
    <t>Short hedge against mezz exposure.</t>
  </si>
  <si>
    <t>RMBS-2023-1-A (Senior) [hedge]</t>
  </si>
  <si>
    <t>RMBS-2023-1-M (Mezz) [hedge]</t>
  </si>
  <si>
    <t>CMBS-2024-RE1-A1 (Senior)</t>
  </si>
  <si>
    <t>CSRSec:4</t>
  </si>
  <si>
    <t>AA</t>
  </si>
  <si>
    <t>Commercial Property Trust 2024-RE1</t>
  </si>
  <si>
    <t>CMBS-2024-RE1</t>
  </si>
  <si>
    <t>CMBS</t>
  </si>
  <si>
    <t>SecNonCTP:CMBS</t>
  </si>
  <si>
    <t>CSR Sec: Bkt 4 (Senior IG, CMBS) — AA senior</t>
  </si>
  <si>
    <t>CMBS_conduit</t>
  </si>
  <si>
    <t>CMBS-2024-RE1|A=25.0|D=100.0|T=Tranche</t>
  </si>
  <si>
    <t>North America | CMBS</t>
  </si>
  <si>
    <t>SEC-ERBA</t>
  </si>
  <si>
    <t>CRE40.43 SEC-ERBA used (pool not IRB-eligible, external rating AA available)</t>
  </si>
  <si>
    <t>{'approach': 'SEC-ERBA', 'rating_class': 'long_term', 'rating': 'AA', 'rating_canonical': 'AA', 'is_senior': True, 'is_stc': False, 'M_T': 1.0, 'rw_1y_table': 0.25, 'rw_5y_table': 0.4, 'rw_interp': 0.25, 'rw_pre_standard_floor': 0.25, 'table_used': 'Table 2'}
WRAPPER STACK (phase 4):
  rw_from_approach_module = 0.250000
  CRE40.50-51 look-through cap: not eligible -&gt; rw unchanged
  CRE41.15 / 42.7 / 44.26 standard floor: 0.150000 -&gt; does not bind
  rw_final = 0.250000</t>
  </si>
  <si>
    <t>CMBS-2024-RE1-A2</t>
  </si>
  <si>
    <t>A</t>
  </si>
  <si>
    <t>CSR Sec: Bkt 4 (Senior IG, CMBS) —</t>
  </si>
  <si>
    <t>CMBS-2024-RE1|A=20.0|D=25.0|T=Tranche</t>
  </si>
  <si>
    <t>CRE40.43 SEC-ERBA used (pool not IRB-eligible, external rating A available)</t>
  </si>
  <si>
    <t>{'approach': 'SEC-ERBA', 'rating_class': 'long_term', 'rating': 'A', 'rating_canonical': 'A', 'is_senior': False, 'is_stc': False, 'M_T': 1.0, 'rw_1y_table': 0.8, 'rw_5y_table': 1.8, 'rw_interp': 0.8, 'thickness': 0.04999999999999999, 'thickness_adj_factor': 0.95, 'rw_after_thickness': 0.76, 'rw_senior_at_M_T_floor': 0.5, 'secondary_floor_binds': False, 'rw_pre_standard_floor': 0.76, 'table_used': 'Table 2'}
WRAPPER STACK (phase 4):
  rw_from_approach_module = 0.760000
  CRE40.50-51 look-through cap: not eligible -&gt; rw unchanged
  CRE41.15 / 42.7 / 44.26 standard floor: 0.150000 -&gt; does not bind
  rw_final = 0.760000</t>
  </si>
  <si>
    <t xml:space="preserve">CMBS-2024-RE1-B </t>
  </si>
  <si>
    <t>CSRSec:12</t>
  </si>
  <si>
    <t>Junior</t>
  </si>
  <si>
    <t xml:space="preserve">CSR Sec: Bkt 12 (Non-senior IG, CMBS) — BBB </t>
  </si>
  <si>
    <t>CMBS-2024-RE1|A=10.0|D=20.0|T=Tranche</t>
  </si>
  <si>
    <t>CRE40.43 SEC-ERBA used (pool not IRB-eligible, external rating BBB available)</t>
  </si>
  <si>
    <t>{'approach': 'SEC-ERBA', 'rating_class': 'long_term', 'rating': 'BBB', 'rating_canonical': 'BBB', 'is_senior': False, 'is_stc': False, 'M_T': 1.0, 'rw_1y_table': 2.2, 'rw_5y_table': 3.1, 'rw_interp': 2.2, 'thickness': 0.1, 'thickness_adj_factor': 0.9, 'rw_after_thickness': 1.9800000000000002, 'rw_senior_at_M_T_floor': 0.9, 'secondary_floor_binds': False, 'rw_pre_standard_floor': 1.9800000000000002, 'table_used': 'Table 2'}
WRAPPER STACK (phase 4):
  rw_from_approach_module = 1.980000
  CRE40.50-51 look-through cap: not eligible -&gt; rw unchanged
  CRE41.15 / 42.7 / 44.26 standard floor: 0.150000 -&gt; does not bind
  rw_final = 1.980000</t>
  </si>
  <si>
    <t>CMBS-2025-NEW-A (Senior)</t>
  </si>
  <si>
    <t>CMBS-2025-NEW</t>
  </si>
  <si>
    <t>fail</t>
  </si>
  <si>
    <t>CMBS-2025-NEW|A=25.0|D=100.0|T=Tranche</t>
  </si>
  <si>
    <t>1250%</t>
  </si>
  <si>
    <t>CRE40.31 DD failed -&gt; 1250% (skips hierarchy)</t>
  </si>
  <si>
    <t>{'approach': '1250%', 'source': 'CRE40.41 / CRE40.31'}
WRAPPER STACK (phase 4):
  rw_from_approach_module = 12.500000
  CRE40.50-51 look-through cap: not eligible -&gt; rw unchanged
  rw_final = 12.500000</t>
  </si>
  <si>
    <t>CLO-2023-LVG-A (Senior)</t>
  </si>
  <si>
    <t>CSRSec:8</t>
  </si>
  <si>
    <t>Leveraged Loan CLO 2023-LVG</t>
  </si>
  <si>
    <t>CLO-2023-LVG</t>
  </si>
  <si>
    <t>CLO</t>
  </si>
  <si>
    <t>SecNonCTP:CLO</t>
  </si>
  <si>
    <t>CSR Sec: Bkt 8 (Senior IG, CLO non-CTP) — AAA senior</t>
  </si>
  <si>
    <t>CLO_BSL</t>
  </si>
  <si>
    <t>CLO-2023-LVG|A=30.0|D=100.0|T=Tranche</t>
  </si>
  <si>
    <t>North America | CLO</t>
  </si>
  <si>
    <t>CRE40.43 SEC-ERBA used (pool not IRB-eligible, external rating AAA available)</t>
  </si>
  <si>
    <t>{'approach': 'SEC-ERBA', 'rating_class': 'long_term', 'rating': 'AAA', 'rating_canonical': 'AAA', 'is_senior': True, 'is_stc': False, 'M_T': 1.0, 'rw_1y_table': 0.15, 'rw_5y_table': 0.2, 'rw_interp': 0.15, 'rw_pre_standard_floor': 0.15, 'table_used': 'Table 2'}
WRAPPER STACK (phase 4):
  rw_from_approach_module = 0.150000
  CRE40.50-51 look-through cap: not eligible -&gt; rw unchanged
  CRE41.15 / 42.7 / 44.26 standard floor: 0.150000 -&gt; does not bind
  rw_final = 0.150000</t>
  </si>
  <si>
    <t>CLO-2023-LVG-B (Mezz)</t>
  </si>
  <si>
    <t>CSRSec:16</t>
  </si>
  <si>
    <t>CSR Sec: Bkt 8 (Senior IG, CLO non-CTP) — AA mezz</t>
  </si>
  <si>
    <t>CLO-2023-LVG|A=15.0|D=30.0|T=Tranche</t>
  </si>
  <si>
    <t>{'approach': 'SEC-ERBA', 'rating_class': 'long_term', 'rating': 'AA', 'rating_canonical': 'AA', 'is_senior': False, 'is_stc': False, 'M_T': 1.0, 'rw_1y_table': 0.3, 'rw_5y_table': 1.2, 'rw_interp': 0.3, 'thickness': 0.15, 'thickness_adj_factor': 0.85, 'rw_after_thickness': 0.255, 'rw_senior_at_M_T_floor': 0.25, 'secondary_floor_binds': False, 'rw_pre_standard_floor': 0.255, 'table_used': 'Table 2'}
WRAPPER STACK (phase 4):
  rw_from_approach_module = 0.255000
  CRE40.50-51 look-through cap: not eligible -&gt; rw unchanged
  CRE41.15 / 42.7 / 44.26 standard floor: 0.150000 -&gt; does not bind
  rw_final = 0.255000</t>
  </si>
  <si>
    <t>CLO-2023-LVG-C (Mezz)</t>
  </si>
  <si>
    <t>CSR Sec: Bkt 16 (Non-senior IG, CLO non-CTP) — AA mezz</t>
  </si>
  <si>
    <t>CLO-2025-NEW-A (Senior)</t>
  </si>
  <si>
    <t>CLO-2025-NEW</t>
  </si>
  <si>
    <t>CLO-2025-NEW|A=30.0|D=100.0|T=Tranche</t>
  </si>
  <si>
    <t>ABCP MultiSeller 2025</t>
  </si>
  <si>
    <t>CSRSec:6</t>
  </si>
  <si>
    <t>A-1</t>
  </si>
  <si>
    <t>Multi-Seller ABCP Conduit 2025</t>
  </si>
  <si>
    <t>ABCP-MS-2025</t>
  </si>
  <si>
    <t>ABCP</t>
  </si>
  <si>
    <t>SecNonCTP:ABCP</t>
  </si>
  <si>
    <t>CSR Sec: Bkt 6 (Senior IG, ABS-Credit cards) — A-1 ABCP</t>
  </si>
  <si>
    <t>Short-term. Use ST risk weight table.</t>
  </si>
  <si>
    <t>ABCP_receivables</t>
  </si>
  <si>
    <t>ABCP-MS-2025|A=0.0|D=100.0|T=Tranche</t>
  </si>
  <si>
    <t>North America | ABCP</t>
  </si>
  <si>
    <t>CRE40.43 SEC-ERBA used (pool not IRB-eligible, external rating A-1 available)</t>
  </si>
  <si>
    <t>{'approach': 'SEC-ERBA', 'rating_class': 'short_term', 'rating': 'A-1', 'rating_canonical': 'A-1/P-1', 'is_stc': False, 'rw_pre_standard_floor': 0.15, 'table_used': 'Table 1'}
WRAPPER STACK (phase 4):
  rw_from_approach_module = 0.150000
  CRE40.50-51 look-through cap: not eligible -&gt; rw unchanged
  CRE41.15 / 42.7 / 44.26 standard floor: 0.150000 -&gt; does not bind
  rw_final = 0.150000</t>
  </si>
  <si>
    <t>CC-ABS-2024-A (Senior)</t>
  </si>
  <si>
    <t>Credit Card Master Trust 2024-A</t>
  </si>
  <si>
    <t>CC-ABS-2024</t>
  </si>
  <si>
    <t>ABS-CreditCard</t>
  </si>
  <si>
    <t>SecNonCTP:CreditCards</t>
  </si>
  <si>
    <t>CSR Sec: Bkt 6 (Senior IG, ABS-Credit cards) — AAA senior</t>
  </si>
  <si>
    <t>ABS_CreditCard</t>
  </si>
  <si>
    <t>CC-ABS-2024|A=12.0|D=100.0|T=Tranche</t>
  </si>
  <si>
    <t>North America | ABS-CreditCard</t>
  </si>
  <si>
    <t>{'approach': 'SEC-IRBA', 'K_IRB': 0.024, 'N': 100000.0, 'LGD': 0.65, 'M_T': 1.0, 'A': 0.12, 'D': 1.0, 'asset_class': 'Retail', 'seniority': 'Senior', 'granularity': 'n/a', 'p_coefficients': {'A_p': 0.0, 'B_p': 0.0, 'C_p': -7.48, 'D_p': 0.71, 'E_p': 0.24}, 'p_pre_floor': 0.5219799999999999, 'p_floor': 0.3, 'p': 0.5219799999999999, 'is_senior_derived': True, 'is_stc': False, 'p_table_used': 'Table 1', 'case': 'CRE44.24(2) A&gt;=K_IRB', 'K_SSFA': 6.688486526465106e-06, 'rw_pre_standard_floor': 8.360608158081383e-05}
WRAPPER STACK (phase 4):
  rw_from_approach_module = 0.000084
  CRE40.50-51 look-through cap: not eligible -&gt; rw unchanged
  CRE41.15 / 42.7 / 44.26 standard floor: 0.150000 -&gt; BINDS, rw raised from 0.000084
  rw_final = 0.150000</t>
  </si>
  <si>
    <t>CC-ABS-2024-B (Mezz)</t>
  </si>
  <si>
    <t>CSRSec:14</t>
  </si>
  <si>
    <t>Credit Card Master Trust 2024-B</t>
  </si>
  <si>
    <t>CSR Sec: Bkt 14 (Non-senior IG, ABS-Credit cards) — AA mezz</t>
  </si>
  <si>
    <t>CC-ABS-2024|A=6.0|D=12.0|T=Tranche</t>
  </si>
  <si>
    <t>{'approach': 'SEC-IRBA', 'K_IRB': 0.024, 'N': 100000.0, 'LGD': 0.65, 'M_T': 1.0, 'A': 0.06, 'D': 0.12, 'asset_class': 'Retail', 'seniority': 'Non-senior', 'granularity': 'n/a', 'p_coefficients': {'A_p': 0.0, 'B_p': 0.0, 'C_p': -5.78, 'D_p': 0.55, 'E_p': 0.27}, 'p_pre_floor': 0.48878000000000005, 'p_floor': 0.3, 'p': 0.48878000000000005, 'is_senior_derived': False, 'is_stc': False, 'p_table_used': 'Table 1', 'case': 'CRE44.24(2) A&gt;=K_IRB', 'K_SSFA': 0.009031612996668504, 'rw_pre_standard_floor': 0.1128951624583563}
WRAPPER STACK (phase 4):
  rw_from_approach_module = 0.112895
  CRE40.50-51 look-through cap: not eligible -&gt; rw unchanged
  CRE41.15 / 42.7 / 44.26 standard floor: 0.150000 -&gt; BINDS, rw raised from 0.112895
  rw_final = 0.150000</t>
  </si>
  <si>
    <t>CC-ABS-2024-C (Junior)</t>
  </si>
  <si>
    <t>Credit Card Master Trust 2024-C</t>
  </si>
  <si>
    <t>CSR Sec: Bkt 14 (Non-senior IG, ABS-Credit cards) — BBB junior</t>
  </si>
  <si>
    <t>First-loss tranche. Highest CSR Sec RW.</t>
  </si>
  <si>
    <t>CC-ABS-2024|A=0.0|D=6.0|T=Tranche</t>
  </si>
  <si>
    <t>{'approach': 'SEC-IRBA', 'K_IRB': 0.024, 'N': 100000.0, 'LGD': 0.65, 'M_T': 1.0, 'A': 0.0, 'D': 0.06, 'asset_class': 'Retail', 'seniority': 'Non-senior', 'granularity': 'n/a', 'p_coefficients': {'A_p': 0.0, 'B_p': 0.0, 'C_p': -5.78, 'D_p': 0.55, 'E_p': 0.27}, 'p_pre_floor': 0.48878000000000005, 'p_floor': 0.3, 'p': 0.48878000000000005, 'is_senior_derived': False, 'is_stc': False, 'p_table_used': 'Table 1', 'case': 'CRE44.24(3) A&lt;K_IRB&lt;D blended', 'K_SSFA': 0.31070967209649536, 'weight_loss_portion': 0.4, 'weight_above_portion': 0.6, 'rw_pre_standard_floor': 7.330322540723716}
WRAPPER STACK (phase 4):
  rw_from_approach_module = 7.330323
  CRE40.50-51 look-through cap: not eligible -&gt; rw unchanged
  CRE41.15 / 42.7 / 44.26 standard floor: 0.150000 -&gt; does not bind
  rw_final = 7.330323</t>
  </si>
  <si>
    <t>CC-ABS-2024-A (Senior) [hedge]</t>
  </si>
  <si>
    <t>AUTO-2024-1-A (Senior)</t>
  </si>
  <si>
    <t>CSRSec:7</t>
  </si>
  <si>
    <t>Auto Loan Trust 2024-1</t>
  </si>
  <si>
    <t>AUTO-2024-1</t>
  </si>
  <si>
    <t>ABS-Auto</t>
  </si>
  <si>
    <t>SecNonCTP:AutoLoans</t>
  </si>
  <si>
    <t>CSR Sec: Bkt 7 (Senior IG, ABS-Auto) — AAA senior</t>
  </si>
  <si>
    <t>ABS_Auto</t>
  </si>
  <si>
    <t>AUTO-2024-1|A=15.0|D=100.0|T=Tranche</t>
  </si>
  <si>
    <t>North America | ABS-Auto</t>
  </si>
  <si>
    <t>{'approach': 'SEC-ERBA', 'rating_class': 'long_term', 'rating': 'AAA', 'rating_canonical': 'AAA', 'is_senior': True, 'is_stc': True, 'M_T': 1.0, 'rw_1y_table': 0.1, 'rw_5y_table': 0.1, 'rw_interp': 0.1, 'rw_pre_standard_floor': 0.1, 'table_used': 'Table 4 (STC)'}
WRAPPER STACK (phase 4):
  rw_from_approach_module = 0.100000
  CRE40.50-51 look-through cap: not eligible -&gt; rw unchanged
  CRE41.15 / 42.7 / 44.26 standard floor: 0.100000 -&gt; does not bind
  rw_final = 0.100000</t>
  </si>
  <si>
    <t>AUTO-2024-1-B (Short Mezz)</t>
  </si>
  <si>
    <t>CSRSec:15</t>
  </si>
  <si>
    <t>CSR Sec: Bkt 15 (Non-senior IG, ABS-Auto) — A short mezz</t>
  </si>
  <si>
    <t>Short hedge on auto ABS.</t>
  </si>
  <si>
    <t>AUTO-2024-1|A=5.0|D=15.0|T=Tranche</t>
  </si>
  <si>
    <t>{'approach': 'SEC-ERBA', 'rating_class': 'long_term', 'rating': 'A', 'rating_canonical': 'A', 'is_senior': False, 'is_stc': True, 'M_T': 1.0, 'rw_1y_table': 0.6, 'rw_5y_table': 1.35, 'rw_interp': 0.6, 'thickness': 0.09999999999999999, 'thickness_adj_factor': 0.9, 'rw_after_thickness': 0.54, 'rw_senior_at_M_T_floor': 0.3, 'secondary_floor_binds': False, 'rw_pre_standard_floor': 0.54, 'table_used': 'Table 4 (STC)'}
WRAPPER STACK (phase 4):
  rw_from_approach_module = 0.540000
  CRE40.50-51 look-through cap: not eligible -&gt; rw unchanged
  CRE41.15 / 42.7 / 44.26 standard floor: 0.150000 -&gt; does not bind
  rw_final = 0.540000</t>
  </si>
  <si>
    <t>ABCP-MS-2025 Liquidity Facility</t>
  </si>
  <si>
    <t>ABCP Multi-Seller Conduit 2025 Liquidity Facility</t>
  </si>
  <si>
    <t>ABCP liquidity facility provided to existing conduit. Unrated -&gt; SEC-IAA path (CRE43).</t>
  </si>
  <si>
    <t>Bank's contingent commitment; EAD = full commitment per CRE40.19; modelled as drawn CSR-Sec for sensitivities + SA capital.</t>
  </si>
  <si>
    <t>Liquidity_Facility</t>
  </si>
  <si>
    <t>IG-3</t>
  </si>
  <si>
    <t>ABCP-MS-2025|A=0.0|D=100.0|T=Liquidity_Facility</t>
  </si>
  <si>
    <t>SEC-IAA</t>
  </si>
  <si>
    <t>CRE40.44 unrated ABCP facility + bank has IAA approval -&gt; SEC-IAA</t>
  </si>
  <si>
    <t>{'approach': 'SEC-IAA', 'internal_grade': 'IG-3', 'mapped_ecai_rating': 'A', 'is_abcp_facility': True, 'delegated_to': 'SEC-ERBA', 'erba_details': {'approach': 'SEC-ERBA', 'rating_class': 'long_term', 'rating': 'A', 'rating_canonical': 'A', 'is_senior': True, 'is_stc': False, 'M_T': 1.0, 'rw_1y_table': 0.5, 'rw_5y_table': 0.65, 'rw_interp': 0.5, 'rw_pre_standard_floor': 0.5, 'table_used': 'Table 2'}, 'rw_pre_standard_floor': 0.5}
WRAPPER STACK (phase 4):
  rw_from_approach_module = 0.500000
  CRE40.50-51 look-through cap: not eligible -&gt; rw unchanged
  rw_final = 0.500000</t>
  </si>
  <si>
    <t>NPL-RMBS-2024-1-A (Senior)</t>
  </si>
  <si>
    <t>NPL Sub-Prime Mortgage Trust 2024-1</t>
  </si>
  <si>
    <t>NPL-RMBS-2024-1</t>
  </si>
  <si>
    <t>NPL fixture: investor on third-party NPL pool, W=0.95 -&gt; NPL per CRE45.1.</t>
  </si>
  <si>
    <t>Unrated tranche on investor (non-IRB) deal -&gt; SEC-SA with CRE45.4 100% floor.</t>
  </si>
  <si>
    <t>RMBS_subprime</t>
  </si>
  <si>
    <t>NPL-RMBS-2024-1|A=20.0|D=100.0|T=Tranche</t>
  </si>
  <si>
    <t>SEC-SA</t>
  </si>
  <si>
    <t>CRE40.45 SEC-SA fallback (not IRB-modelable (irb_share=0.00), no external rating / inferred_rating, not an unrated ABCP facility (IAA not eligible))</t>
  </si>
  <si>
    <t>{'approach': 'SEC-SA', 'K_SA': 0.08, 'W': 0.95, 'K_A': 0.479, 'p': 1.0, 'A': 0.2, 'D': 1.0, 'is_resecuritisation': False, 'is_stc': False, 'case': 'CRE41.13(3) A&lt;K_A&lt;D blended', 'K_SSFA': 0.6095559816862454, 'weight_loss_portion': 0.34874999999999995, 'weight_above_portion': 0.65125, 'rw_pre_standard_floor': 9.321541663414589}
WRAPPER STACK (phase 4):
  rw_from_approach_module = 9.321542
  CRE40.50-51 look-through cap: not eligible -&gt; rw unchanged
  CRE45.4 NPL 100% floor: APPLIED -&gt; rw=9.321542
  CRE41.15 / 42.7 / 44.26 standard floor: 0.150000 -&gt; does not bind
  rw_final = 9.321542</t>
  </si>
  <si>
    <t>CC-NPL-2024-1-A (Senior)</t>
  </si>
  <si>
    <t>Distressed Credit Card Master Trust 2024-1</t>
  </si>
  <si>
    <t>CC-NPL-2024-1</t>
  </si>
  <si>
    <t>SecNonCTP:ABS-CC</t>
  </si>
  <si>
    <t>NPL fixture: bank's own credit-card master trust gone NPL (originator).</t>
  </si>
  <si>
    <t>SEC-IRBA + CRE45.5 NRPPD&gt;=50% senior concession -&gt; flat 100% RW.</t>
  </si>
  <si>
    <t>CC-NPL-2024-1|A=25.0|D=100.0|T=Tranche</t>
  </si>
  <si>
    <t>{'approach': 'SEC-IRBA', 'K_IRB': 0.12, 'N': 50000.0, 'LGD': 0.65, 'M_T': 1.0, 'A': 0.25, 'D': 1.0, 'asset_class': 'Retail', 'seniority': 'Senior', 'granularity': 'n/a', 'p_coefficients': {'A_p': 0.0, 'B_p': 0.0, 'C_p': -7.48, 'D_p': 0.71, 'E_p': 0.24}, 'p_pre_floor': -0.1961000000000001, 'p_floor': 0.3, 'p': 0.3, 'is_senior_derived': True, 'is_stc': False, 'p_table_used': 'Table 1', 'case': 'CRE44.24(2) A&gt;=K_IRB', 'K_SSFA': 0.0012970466844961746, 'rw_pre_standard_floor': 0.016213083556202185}
WRAPPER STACK (phase 4):
  rw_from_approach_module = 0.016213
  CRE40.50-51 look-through cap: not eligible -&gt; rw unchanged
  CRE45.5 NRPPD senior concession: APPLIED -&gt; rw set to 1.000000
  CRE41.15 / 42.7 / 44.26 standard floor: 0.150000 -&gt; does not bind
  rw_final = 1.000000</t>
  </si>
  <si>
    <t>CC-NPL-2024-1-B (Mezz)</t>
  </si>
  <si>
    <t>NPL fixture: mezz on bank's own NPL credit-card pool.</t>
  </si>
  <si>
    <t>SEC-IRBA NPL non-senior -&gt; SSFA + CRE45.4 100% floor.</t>
  </si>
  <si>
    <t>CC-NPL-2024-1|A=10.0|D=25.0|T=Tranche</t>
  </si>
  <si>
    <t>{'approach': 'SEC-IRBA', 'K_IRB': 0.12, 'N': 50000.0, 'LGD': 0.65, 'M_T': 1.0, 'A': 0.1, 'D': 0.25, 'asset_class': 'Retail', 'seniority': 'Non-senior', 'granularity': 'n/a', 'p_coefficients': {'A_p': 0.0, 'B_p': 0.0, 'C_p': -5.78, 'D_p': 0.55, 'E_p': 0.27}, 'p_pre_floor': -0.06609999999999994, 'p_floor': 0.3, 'p': 0.3, 'is_senior_derived': False, 'is_stc': False, 'p_table_used': 'Table 1', 'case': 'CRE44.24(3) A&lt;K_IRB&lt;D blended', 'K_SSFA': 0.2694401152750498, 'weight_loss_portion': 0.13333333333333328, 'weight_above_portion': 0.8666666666666667, 'rw_pre_standard_floor': 4.585601248813038}
WRAPPER STACK (phase 4):
  rw_from_approach_module = 4.585601
  CRE40.50-51 look-through cap: not eligible -&gt; rw unchanged
  CRE45.4 NPL 100% floor: APPLIED -&gt; rw=4.585601
  CRE41.15 / 42.7 / 44.26 standard floor: 0.150000 -&gt; does not bind
  rw_final = 4.585601</t>
  </si>
  <si>
    <t>net_jtd_tranche</t>
  </si>
  <si>
    <t>abs_net_jtd_tranche</t>
  </si>
  <si>
    <t>abs_mv_tranche</t>
  </si>
  <si>
    <t>n_positions_in_tranche</t>
  </si>
  <si>
    <t>section</t>
  </si>
  <si>
    <t>--- netting_buildup_per_position ---</t>
  </si>
  <si>
    <t>--- perfect_hedges_netting_to_zero ---</t>
  </si>
  <si>
    <t>check</t>
  </si>
  <si>
    <t>rows_in (positions)</t>
  </si>
  <si>
    <t>rows_out (tranches)</t>
  </si>
  <si>
    <t>rows_collapsed (positions - tranches)</t>
  </si>
  <si>
    <t>max_netting_residual (Σ scaled - net_jtd_tranche)</t>
  </si>
  <si>
    <t>sum_net_jtd_tranche (signed)</t>
  </si>
  <si>
    <t>sum_abs_net_jtd_tranche</t>
  </si>
  <si>
    <t>perfect_hedge_tranches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</si>
</sst>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43" fontId="1" fillId="0" borderId="1" xfId="1" applyFont="1" applyBorder="1" applyAlignment="1">
      <alignment horizontal="center" vertical="top"/>
    </xf>
    <xf numFmtId="43" fontId="0" fillId="0" borderId="0" xfId="1" applyFont="1"/>
    <xf numFmtId="43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workbookViewId="0"/>
  </sheetViews>
  <sheetFormatPr defaultRowHeight="14.5" x14ac:dyDescent="0.35"/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>
        <v>6</v>
      </c>
    </row>
    <row r="3" spans="1:2" x14ac:dyDescent="0.35">
      <c r="A3" t="s">
        <v>3</v>
      </c>
      <c r="B3" t="s">
        <v>4</v>
      </c>
    </row>
    <row r="4" spans="1:2" x14ac:dyDescent="0.35">
      <c r="A4" t="s">
        <v>5</v>
      </c>
      <c r="B4" t="s">
        <v>6</v>
      </c>
    </row>
    <row r="5" spans="1:2" x14ac:dyDescent="0.35">
      <c r="A5" t="s">
        <v>7</v>
      </c>
      <c r="B5" t="s">
        <v>8</v>
      </c>
    </row>
    <row r="6" spans="1:2" x14ac:dyDescent="0.35">
      <c r="A6" t="s">
        <v>9</v>
      </c>
      <c r="B6" t="s">
        <v>10</v>
      </c>
    </row>
    <row r="7" spans="1:2" x14ac:dyDescent="0.35">
      <c r="A7" t="s">
        <v>11</v>
      </c>
      <c r="B7">
        <v>24</v>
      </c>
    </row>
    <row r="8" spans="1:2" x14ac:dyDescent="0.35">
      <c r="A8" t="s">
        <v>12</v>
      </c>
      <c r="B8">
        <v>19</v>
      </c>
    </row>
    <row r="9" spans="1:2" x14ac:dyDescent="0.35">
      <c r="A9" t="s">
        <v>13</v>
      </c>
      <c r="B9">
        <v>52</v>
      </c>
    </row>
    <row r="10" spans="1:2" x14ac:dyDescent="0.35">
      <c r="A10" t="s">
        <v>14</v>
      </c>
      <c r="B10">
        <v>14</v>
      </c>
    </row>
    <row r="11" spans="1:2" x14ac:dyDescent="0.35">
      <c r="A11" t="s">
        <v>15</v>
      </c>
      <c r="B11" t="s">
        <v>16</v>
      </c>
    </row>
    <row r="12" spans="1:2" x14ac:dyDescent="0.35">
      <c r="A12" t="s">
        <v>17</v>
      </c>
      <c r="B12" t="s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A28"/>
  <sheetViews>
    <sheetView tabSelected="1" topLeftCell="AK1" workbookViewId="0">
      <selection activeCell="J14" sqref="J14"/>
    </sheetView>
  </sheetViews>
  <sheetFormatPr defaultRowHeight="14.5" x14ac:dyDescent="0.35"/>
  <cols>
    <col min="6" max="7" width="17.81640625" bestFit="1" customWidth="1"/>
    <col min="52" max="52" width="15.54296875" style="4" customWidth="1"/>
    <col min="53" max="53" width="13.6328125" bestFit="1" customWidth="1"/>
  </cols>
  <sheetData>
    <row r="1" spans="1:53" x14ac:dyDescent="0.35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  <c r="X1" s="1" t="s">
        <v>42</v>
      </c>
      <c r="Y1" s="1" t="s">
        <v>43</v>
      </c>
      <c r="Z1" s="1" t="s">
        <v>44</v>
      </c>
      <c r="AA1" s="1" t="s">
        <v>45</v>
      </c>
      <c r="AB1" s="1" t="s">
        <v>46</v>
      </c>
      <c r="AC1" s="1" t="s">
        <v>47</v>
      </c>
      <c r="AD1" s="1" t="s">
        <v>48</v>
      </c>
      <c r="AE1" s="1" t="s">
        <v>49</v>
      </c>
      <c r="AF1" s="1" t="s">
        <v>50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  <c r="AS1" s="1" t="s">
        <v>63</v>
      </c>
      <c r="AT1" s="1" t="s">
        <v>64</v>
      </c>
      <c r="AU1" s="1" t="s">
        <v>65</v>
      </c>
      <c r="AV1" s="1" t="s">
        <v>66</v>
      </c>
      <c r="AW1" s="1" t="s">
        <v>67</v>
      </c>
      <c r="AX1" s="1" t="s">
        <v>68</v>
      </c>
      <c r="AY1" s="1" t="s">
        <v>69</v>
      </c>
      <c r="AZ1" s="3" t="s">
        <v>70</v>
      </c>
    </row>
    <row r="2" spans="1:53" x14ac:dyDescent="0.35">
      <c r="A2">
        <v>37</v>
      </c>
      <c r="B2" t="s">
        <v>71</v>
      </c>
      <c r="C2" t="s">
        <v>72</v>
      </c>
      <c r="D2" t="s">
        <v>73</v>
      </c>
      <c r="E2" t="s">
        <v>74</v>
      </c>
      <c r="F2" s="2">
        <v>44986</v>
      </c>
      <c r="G2" s="2">
        <v>47118</v>
      </c>
      <c r="H2">
        <v>3.95</v>
      </c>
      <c r="I2" t="s">
        <v>75</v>
      </c>
      <c r="J2">
        <v>15</v>
      </c>
      <c r="K2">
        <v>100</v>
      </c>
      <c r="L2" t="s">
        <v>76</v>
      </c>
      <c r="M2" t="s">
        <v>77</v>
      </c>
      <c r="N2" t="s">
        <v>78</v>
      </c>
      <c r="O2" t="s">
        <v>79</v>
      </c>
      <c r="P2" t="s">
        <v>80</v>
      </c>
      <c r="Q2" t="s">
        <v>81</v>
      </c>
      <c r="R2" t="s">
        <v>82</v>
      </c>
      <c r="S2">
        <v>5000000</v>
      </c>
      <c r="T2" t="b">
        <v>0</v>
      </c>
      <c r="V2" t="b">
        <v>1</v>
      </c>
      <c r="W2">
        <v>1</v>
      </c>
      <c r="X2">
        <v>2.902121834360027</v>
      </c>
      <c r="Y2">
        <v>1</v>
      </c>
      <c r="Z2" t="s">
        <v>83</v>
      </c>
      <c r="AA2" t="b">
        <v>0</v>
      </c>
      <c r="AB2">
        <v>1.4999999999999999E-2</v>
      </c>
      <c r="AC2">
        <v>0.02</v>
      </c>
      <c r="AD2">
        <v>2.8000000000000001E-2</v>
      </c>
      <c r="AE2">
        <v>5000</v>
      </c>
      <c r="AF2">
        <v>0.25</v>
      </c>
      <c r="AG2">
        <v>0</v>
      </c>
      <c r="AH2">
        <v>1200000000</v>
      </c>
      <c r="AI2" t="s">
        <v>84</v>
      </c>
      <c r="AJ2" t="b">
        <v>1</v>
      </c>
      <c r="AK2" t="s">
        <v>85</v>
      </c>
      <c r="AL2" t="b">
        <v>0</v>
      </c>
      <c r="AM2" t="s">
        <v>86</v>
      </c>
      <c r="AN2" t="s">
        <v>87</v>
      </c>
      <c r="AO2">
        <v>3858004.5966131608</v>
      </c>
      <c r="AP2" t="b">
        <v>1</v>
      </c>
      <c r="AQ2" t="b">
        <v>1</v>
      </c>
      <c r="AR2">
        <v>1</v>
      </c>
      <c r="AS2" t="s">
        <v>88</v>
      </c>
      <c r="AT2" t="s">
        <v>89</v>
      </c>
      <c r="AU2">
        <v>0.15</v>
      </c>
      <c r="AV2" t="s">
        <v>90</v>
      </c>
      <c r="AW2" t="b">
        <v>0</v>
      </c>
      <c r="AX2" t="b">
        <v>0</v>
      </c>
      <c r="AY2">
        <v>0.15</v>
      </c>
      <c r="AZ2" s="4">
        <v>3858004.5966131608</v>
      </c>
      <c r="BA2" s="5">
        <f>AU2*AZ2*0.08</f>
        <v>46296.055159357929</v>
      </c>
    </row>
    <row r="3" spans="1:53" x14ac:dyDescent="0.35">
      <c r="A3">
        <v>38</v>
      </c>
      <c r="B3" t="s">
        <v>91</v>
      </c>
      <c r="C3" t="s">
        <v>92</v>
      </c>
      <c r="D3" t="s">
        <v>73</v>
      </c>
      <c r="E3" t="s">
        <v>93</v>
      </c>
      <c r="F3" s="2">
        <v>44986</v>
      </c>
      <c r="G3" s="2">
        <v>47118</v>
      </c>
      <c r="H3">
        <v>3.95</v>
      </c>
      <c r="I3" t="s">
        <v>75</v>
      </c>
      <c r="J3">
        <v>5</v>
      </c>
      <c r="K3">
        <v>15</v>
      </c>
      <c r="L3" t="s">
        <v>76</v>
      </c>
      <c r="M3" t="s">
        <v>77</v>
      </c>
      <c r="N3" t="s">
        <v>94</v>
      </c>
      <c r="O3" t="s">
        <v>79</v>
      </c>
      <c r="P3" t="s">
        <v>95</v>
      </c>
      <c r="Q3" t="s">
        <v>96</v>
      </c>
      <c r="R3" t="s">
        <v>82</v>
      </c>
      <c r="S3">
        <v>30000000</v>
      </c>
      <c r="T3" t="b">
        <v>0</v>
      </c>
      <c r="V3" t="b">
        <v>0</v>
      </c>
      <c r="W3">
        <v>1</v>
      </c>
      <c r="X3">
        <v>2.902121834360027</v>
      </c>
      <c r="Y3">
        <v>1</v>
      </c>
      <c r="Z3" t="s">
        <v>83</v>
      </c>
      <c r="AA3" t="b">
        <v>0</v>
      </c>
      <c r="AB3">
        <v>1.4999999999999999E-2</v>
      </c>
      <c r="AC3">
        <v>0.02</v>
      </c>
      <c r="AD3">
        <v>2.8000000000000001E-2</v>
      </c>
      <c r="AE3">
        <v>5000</v>
      </c>
      <c r="AF3">
        <v>0.25</v>
      </c>
      <c r="AG3">
        <v>0</v>
      </c>
      <c r="AH3">
        <v>1200000000</v>
      </c>
      <c r="AI3" t="s">
        <v>84</v>
      </c>
      <c r="AJ3" t="b">
        <v>1</v>
      </c>
      <c r="AK3" t="s">
        <v>85</v>
      </c>
      <c r="AL3" t="b">
        <v>0</v>
      </c>
      <c r="AM3" t="s">
        <v>97</v>
      </c>
      <c r="AN3" t="s">
        <v>87</v>
      </c>
      <c r="AO3">
        <v>21993472.136013079</v>
      </c>
      <c r="AP3" t="b">
        <v>1</v>
      </c>
      <c r="AQ3" t="b">
        <v>1</v>
      </c>
      <c r="AR3">
        <v>1</v>
      </c>
      <c r="AS3" t="s">
        <v>88</v>
      </c>
      <c r="AT3" t="s">
        <v>89</v>
      </c>
      <c r="AU3">
        <v>0.15</v>
      </c>
      <c r="AV3" t="s">
        <v>98</v>
      </c>
      <c r="AW3" t="b">
        <v>0</v>
      </c>
      <c r="AX3" t="b">
        <v>0</v>
      </c>
      <c r="AY3">
        <v>0.15</v>
      </c>
      <c r="AZ3" s="4">
        <v>21993472.136013079</v>
      </c>
      <c r="BA3" s="5">
        <f t="shared" ref="BA3:BA25" si="0">AU3*AZ3*0.08</f>
        <v>263921.66563215695</v>
      </c>
    </row>
    <row r="4" spans="1:53" x14ac:dyDescent="0.35">
      <c r="A4">
        <v>39</v>
      </c>
      <c r="B4" t="s">
        <v>99</v>
      </c>
      <c r="C4" t="s">
        <v>92</v>
      </c>
      <c r="D4" t="s">
        <v>100</v>
      </c>
      <c r="E4" t="s">
        <v>93</v>
      </c>
      <c r="F4" s="2">
        <v>44986</v>
      </c>
      <c r="G4" s="2">
        <v>47118</v>
      </c>
      <c r="H4">
        <v>3.95</v>
      </c>
      <c r="I4" t="s">
        <v>75</v>
      </c>
      <c r="J4">
        <v>5</v>
      </c>
      <c r="K4">
        <v>15</v>
      </c>
      <c r="L4" t="s">
        <v>76</v>
      </c>
      <c r="M4" t="s">
        <v>77</v>
      </c>
      <c r="N4" t="s">
        <v>94</v>
      </c>
      <c r="O4" t="s">
        <v>79</v>
      </c>
      <c r="P4" t="s">
        <v>101</v>
      </c>
      <c r="Q4" t="s">
        <v>102</v>
      </c>
      <c r="R4" t="s">
        <v>82</v>
      </c>
      <c r="S4">
        <v>-5000000</v>
      </c>
      <c r="T4" t="b">
        <v>0</v>
      </c>
      <c r="V4" t="b">
        <v>0</v>
      </c>
      <c r="W4">
        <v>1</v>
      </c>
      <c r="X4">
        <v>2.902121834360027</v>
      </c>
      <c r="Y4">
        <v>1</v>
      </c>
      <c r="Z4" t="s">
        <v>83</v>
      </c>
      <c r="AA4" t="b">
        <v>0</v>
      </c>
      <c r="AB4">
        <v>1.4999999999999999E-2</v>
      </c>
      <c r="AC4">
        <v>0.02</v>
      </c>
      <c r="AD4">
        <v>2.8000000000000001E-2</v>
      </c>
      <c r="AE4">
        <v>5000</v>
      </c>
      <c r="AF4">
        <v>0.25</v>
      </c>
      <c r="AG4">
        <v>0</v>
      </c>
      <c r="AH4">
        <v>1200000000</v>
      </c>
      <c r="AI4" t="s">
        <v>84</v>
      </c>
      <c r="AJ4" t="b">
        <v>1</v>
      </c>
      <c r="AK4" t="s">
        <v>85</v>
      </c>
      <c r="AL4" t="b">
        <v>0</v>
      </c>
      <c r="AM4" t="s">
        <v>97</v>
      </c>
      <c r="AN4" t="s">
        <v>87</v>
      </c>
      <c r="AO4">
        <v>-3665578.6893355129</v>
      </c>
      <c r="AP4" t="b">
        <v>1</v>
      </c>
      <c r="AQ4" t="b">
        <v>1</v>
      </c>
      <c r="AR4">
        <v>1</v>
      </c>
      <c r="AS4" t="s">
        <v>88</v>
      </c>
      <c r="AT4" t="s">
        <v>89</v>
      </c>
      <c r="AU4">
        <v>0.15</v>
      </c>
      <c r="AV4" t="s">
        <v>98</v>
      </c>
      <c r="AW4" t="b">
        <v>0</v>
      </c>
      <c r="AX4" t="b">
        <v>0</v>
      </c>
      <c r="AY4">
        <v>0.15</v>
      </c>
      <c r="AZ4" s="4">
        <v>-3665578.6893355129</v>
      </c>
      <c r="BA4" s="5">
        <f t="shared" si="0"/>
        <v>-43986.94427202615</v>
      </c>
    </row>
    <row r="5" spans="1:53" x14ac:dyDescent="0.35">
      <c r="A5">
        <v>68</v>
      </c>
      <c r="B5" t="s">
        <v>103</v>
      </c>
      <c r="C5" t="s">
        <v>72</v>
      </c>
      <c r="D5" t="s">
        <v>100</v>
      </c>
      <c r="E5" t="s">
        <v>74</v>
      </c>
      <c r="F5" s="2">
        <v>44986</v>
      </c>
      <c r="G5" s="2">
        <v>47118</v>
      </c>
      <c r="H5">
        <v>3.95</v>
      </c>
      <c r="I5" t="s">
        <v>75</v>
      </c>
      <c r="J5">
        <v>15</v>
      </c>
      <c r="K5">
        <v>100</v>
      </c>
      <c r="L5" t="s">
        <v>76</v>
      </c>
      <c r="M5" t="s">
        <v>77</v>
      </c>
      <c r="N5" t="s">
        <v>78</v>
      </c>
      <c r="O5" t="s">
        <v>79</v>
      </c>
      <c r="P5" t="s">
        <v>80</v>
      </c>
      <c r="Q5" t="s">
        <v>81</v>
      </c>
      <c r="R5" t="s">
        <v>82</v>
      </c>
      <c r="S5">
        <v>-5000000</v>
      </c>
      <c r="T5" t="b">
        <v>0</v>
      </c>
      <c r="V5" t="b">
        <v>1</v>
      </c>
      <c r="W5">
        <v>1</v>
      </c>
      <c r="X5">
        <v>2.902121834360027</v>
      </c>
      <c r="Y5">
        <v>1</v>
      </c>
      <c r="Z5" t="s">
        <v>83</v>
      </c>
      <c r="AA5" t="b">
        <v>0</v>
      </c>
      <c r="AB5">
        <v>1.4999999999999999E-2</v>
      </c>
      <c r="AC5">
        <v>0.02</v>
      </c>
      <c r="AD5">
        <v>2.8000000000000001E-2</v>
      </c>
      <c r="AE5">
        <v>5000</v>
      </c>
      <c r="AF5">
        <v>0.25</v>
      </c>
      <c r="AG5">
        <v>0</v>
      </c>
      <c r="AH5">
        <v>1200000000</v>
      </c>
      <c r="AI5" t="s">
        <v>84</v>
      </c>
      <c r="AJ5" t="b">
        <v>1</v>
      </c>
      <c r="AK5" t="s">
        <v>85</v>
      </c>
      <c r="AL5" t="b">
        <v>0</v>
      </c>
      <c r="AM5" t="s">
        <v>86</v>
      </c>
      <c r="AN5" t="s">
        <v>87</v>
      </c>
      <c r="AO5">
        <v>-3858004.5966131608</v>
      </c>
      <c r="AP5" t="b">
        <v>1</v>
      </c>
      <c r="AQ5" t="b">
        <v>1</v>
      </c>
      <c r="AR5">
        <v>1</v>
      </c>
      <c r="AS5" t="s">
        <v>88</v>
      </c>
      <c r="AT5" t="s">
        <v>89</v>
      </c>
      <c r="AU5">
        <v>0.15</v>
      </c>
      <c r="AV5" t="s">
        <v>90</v>
      </c>
      <c r="AW5" t="b">
        <v>0</v>
      </c>
      <c r="AX5" t="b">
        <v>0</v>
      </c>
      <c r="AY5">
        <v>0.15</v>
      </c>
      <c r="AZ5" s="4">
        <v>-3858004.5966131608</v>
      </c>
      <c r="BA5" s="5">
        <f t="shared" si="0"/>
        <v>-46296.055159357929</v>
      </c>
    </row>
    <row r="6" spans="1:53" x14ac:dyDescent="0.35">
      <c r="A6">
        <v>69</v>
      </c>
      <c r="B6" t="s">
        <v>104</v>
      </c>
      <c r="C6" t="s">
        <v>92</v>
      </c>
      <c r="D6" t="s">
        <v>100</v>
      </c>
      <c r="E6" t="s">
        <v>93</v>
      </c>
      <c r="F6" s="2">
        <v>44986</v>
      </c>
      <c r="G6" s="2">
        <v>47118</v>
      </c>
      <c r="H6">
        <v>3.95</v>
      </c>
      <c r="I6" t="s">
        <v>75</v>
      </c>
      <c r="J6">
        <v>5</v>
      </c>
      <c r="K6">
        <v>15</v>
      </c>
      <c r="L6" t="s">
        <v>76</v>
      </c>
      <c r="M6" t="s">
        <v>77</v>
      </c>
      <c r="N6" t="s">
        <v>94</v>
      </c>
      <c r="O6" t="s">
        <v>79</v>
      </c>
      <c r="P6" t="s">
        <v>95</v>
      </c>
      <c r="Q6" t="s">
        <v>96</v>
      </c>
      <c r="R6" t="s">
        <v>82</v>
      </c>
      <c r="S6">
        <v>-1500000</v>
      </c>
      <c r="T6" t="b">
        <v>0</v>
      </c>
      <c r="V6" t="b">
        <v>0</v>
      </c>
      <c r="W6">
        <v>1</v>
      </c>
      <c r="X6">
        <v>2.902121834360027</v>
      </c>
      <c r="Y6">
        <v>1</v>
      </c>
      <c r="Z6" t="s">
        <v>83</v>
      </c>
      <c r="AA6" t="b">
        <v>0</v>
      </c>
      <c r="AB6">
        <v>1.4999999999999999E-2</v>
      </c>
      <c r="AC6">
        <v>0.02</v>
      </c>
      <c r="AD6">
        <v>2.8000000000000001E-2</v>
      </c>
      <c r="AE6">
        <v>5000</v>
      </c>
      <c r="AF6">
        <v>0.25</v>
      </c>
      <c r="AG6">
        <v>0</v>
      </c>
      <c r="AH6">
        <v>1200000000</v>
      </c>
      <c r="AI6" t="s">
        <v>84</v>
      </c>
      <c r="AJ6" t="b">
        <v>1</v>
      </c>
      <c r="AK6" t="s">
        <v>85</v>
      </c>
      <c r="AL6" t="b">
        <v>0</v>
      </c>
      <c r="AM6" t="s">
        <v>97</v>
      </c>
      <c r="AN6" t="s">
        <v>87</v>
      </c>
      <c r="AO6">
        <v>-1099673.606800654</v>
      </c>
      <c r="AP6" t="b">
        <v>1</v>
      </c>
      <c r="AQ6" t="b">
        <v>1</v>
      </c>
      <c r="AR6">
        <v>1</v>
      </c>
      <c r="AS6" t="s">
        <v>88</v>
      </c>
      <c r="AT6" t="s">
        <v>89</v>
      </c>
      <c r="AU6">
        <v>0.15</v>
      </c>
      <c r="AV6" t="s">
        <v>98</v>
      </c>
      <c r="AW6" t="b">
        <v>0</v>
      </c>
      <c r="AX6" t="b">
        <v>0</v>
      </c>
      <c r="AY6">
        <v>0.15</v>
      </c>
      <c r="AZ6" s="4">
        <v>-1099673.606800654</v>
      </c>
      <c r="BA6" s="5">
        <f t="shared" si="0"/>
        <v>-13196.083281607847</v>
      </c>
    </row>
    <row r="7" spans="1:53" x14ac:dyDescent="0.35">
      <c r="A7">
        <v>40</v>
      </c>
      <c r="B7" t="s">
        <v>105</v>
      </c>
      <c r="C7" t="s">
        <v>106</v>
      </c>
      <c r="D7" t="s">
        <v>73</v>
      </c>
      <c r="E7" t="s">
        <v>107</v>
      </c>
      <c r="F7" s="2">
        <v>45444</v>
      </c>
      <c r="G7" s="2">
        <v>49125</v>
      </c>
      <c r="H7">
        <v>3.95</v>
      </c>
      <c r="I7" t="s">
        <v>108</v>
      </c>
      <c r="J7">
        <v>25</v>
      </c>
      <c r="K7">
        <v>100</v>
      </c>
      <c r="L7" t="s">
        <v>109</v>
      </c>
      <c r="M7" t="s">
        <v>110</v>
      </c>
      <c r="N7" t="s">
        <v>78</v>
      </c>
      <c r="O7" t="s">
        <v>111</v>
      </c>
      <c r="P7" t="s">
        <v>112</v>
      </c>
      <c r="R7" t="s">
        <v>82</v>
      </c>
      <c r="S7">
        <v>1000000</v>
      </c>
      <c r="T7" t="b">
        <v>0</v>
      </c>
      <c r="V7" t="b">
        <v>1</v>
      </c>
      <c r="W7">
        <v>1</v>
      </c>
      <c r="X7">
        <v>8.3969883641341543</v>
      </c>
      <c r="Y7">
        <v>1</v>
      </c>
      <c r="Z7" t="s">
        <v>113</v>
      </c>
      <c r="AA7" t="b">
        <v>0</v>
      </c>
      <c r="AB7">
        <v>5.0000000000000001E-3</v>
      </c>
      <c r="AC7">
        <v>6.4000000000000001E-2</v>
      </c>
      <c r="AD7">
        <v>0.08</v>
      </c>
      <c r="AE7">
        <v>60</v>
      </c>
      <c r="AF7">
        <v>0.4</v>
      </c>
      <c r="AG7">
        <v>0</v>
      </c>
      <c r="AH7">
        <v>900000000</v>
      </c>
      <c r="AI7" t="s">
        <v>84</v>
      </c>
      <c r="AJ7" t="b">
        <v>0</v>
      </c>
      <c r="AK7" t="s">
        <v>85</v>
      </c>
      <c r="AL7" t="b">
        <v>0</v>
      </c>
      <c r="AM7" t="s">
        <v>114</v>
      </c>
      <c r="AN7" t="s">
        <v>115</v>
      </c>
      <c r="AO7">
        <v>900898.05081855413</v>
      </c>
      <c r="AP7" t="b">
        <v>1</v>
      </c>
      <c r="AQ7" t="b">
        <v>0</v>
      </c>
      <c r="AR7">
        <v>0</v>
      </c>
      <c r="AS7" t="s">
        <v>116</v>
      </c>
      <c r="AT7" t="s">
        <v>117</v>
      </c>
      <c r="AU7">
        <v>0.25</v>
      </c>
      <c r="AV7" t="s">
        <v>118</v>
      </c>
      <c r="AW7" t="b">
        <v>0</v>
      </c>
      <c r="AX7" t="b">
        <v>0</v>
      </c>
      <c r="AY7">
        <v>0.15</v>
      </c>
      <c r="AZ7" s="4">
        <v>900898.05081855413</v>
      </c>
      <c r="BA7" s="5">
        <f t="shared" si="0"/>
        <v>18017.961016371082</v>
      </c>
    </row>
    <row r="8" spans="1:53" x14ac:dyDescent="0.35">
      <c r="A8">
        <v>41</v>
      </c>
      <c r="B8" t="s">
        <v>119</v>
      </c>
      <c r="C8" t="s">
        <v>106</v>
      </c>
      <c r="D8" t="s">
        <v>73</v>
      </c>
      <c r="E8" t="s">
        <v>120</v>
      </c>
      <c r="F8" s="2">
        <v>45444</v>
      </c>
      <c r="G8" s="2">
        <v>49125</v>
      </c>
      <c r="H8">
        <v>3.95</v>
      </c>
      <c r="I8" t="s">
        <v>108</v>
      </c>
      <c r="J8">
        <v>20</v>
      </c>
      <c r="K8">
        <v>25</v>
      </c>
      <c r="L8" t="s">
        <v>109</v>
      </c>
      <c r="M8" t="s">
        <v>110</v>
      </c>
      <c r="N8" t="s">
        <v>94</v>
      </c>
      <c r="O8" t="s">
        <v>111</v>
      </c>
      <c r="P8" t="s">
        <v>121</v>
      </c>
      <c r="R8" t="s">
        <v>82</v>
      </c>
      <c r="S8">
        <v>8000000</v>
      </c>
      <c r="T8" t="b">
        <v>0</v>
      </c>
      <c r="V8" t="b">
        <v>0</v>
      </c>
      <c r="W8">
        <v>1</v>
      </c>
      <c r="X8">
        <v>8.3969883641341543</v>
      </c>
      <c r="Y8">
        <v>1</v>
      </c>
      <c r="Z8" t="s">
        <v>113</v>
      </c>
      <c r="AA8" t="b">
        <v>0</v>
      </c>
      <c r="AB8">
        <v>5.0000000000000001E-3</v>
      </c>
      <c r="AC8">
        <v>6.4000000000000001E-2</v>
      </c>
      <c r="AD8">
        <v>0.08</v>
      </c>
      <c r="AE8">
        <v>60</v>
      </c>
      <c r="AF8">
        <v>0.4</v>
      </c>
      <c r="AG8">
        <v>0</v>
      </c>
      <c r="AH8">
        <v>900000000</v>
      </c>
      <c r="AI8" t="s">
        <v>84</v>
      </c>
      <c r="AJ8" t="b">
        <v>0</v>
      </c>
      <c r="AK8" t="s">
        <v>85</v>
      </c>
      <c r="AL8" t="b">
        <v>0</v>
      </c>
      <c r="AM8" t="s">
        <v>122</v>
      </c>
      <c r="AN8" t="s">
        <v>115</v>
      </c>
      <c r="AO8">
        <v>6756281.9517792659</v>
      </c>
      <c r="AP8" t="b">
        <v>1</v>
      </c>
      <c r="AQ8" t="b">
        <v>0</v>
      </c>
      <c r="AR8">
        <v>0</v>
      </c>
      <c r="AS8" t="s">
        <v>116</v>
      </c>
      <c r="AT8" t="s">
        <v>123</v>
      </c>
      <c r="AU8">
        <v>0.76</v>
      </c>
      <c r="AV8" t="s">
        <v>124</v>
      </c>
      <c r="AW8" t="b">
        <v>0</v>
      </c>
      <c r="AX8" t="b">
        <v>0</v>
      </c>
      <c r="AY8">
        <v>0.15</v>
      </c>
      <c r="AZ8" s="4">
        <v>6756281.9517792659</v>
      </c>
      <c r="BA8" s="5">
        <f t="shared" si="0"/>
        <v>410781.94266817934</v>
      </c>
    </row>
    <row r="9" spans="1:53" x14ac:dyDescent="0.35">
      <c r="A9">
        <v>42</v>
      </c>
      <c r="B9" t="s">
        <v>125</v>
      </c>
      <c r="C9" t="s">
        <v>126</v>
      </c>
      <c r="D9" t="s">
        <v>73</v>
      </c>
      <c r="E9" t="s">
        <v>93</v>
      </c>
      <c r="F9" s="2">
        <v>45444</v>
      </c>
      <c r="G9" s="2">
        <v>49125</v>
      </c>
      <c r="H9">
        <v>3.95</v>
      </c>
      <c r="I9" t="s">
        <v>108</v>
      </c>
      <c r="J9">
        <v>10</v>
      </c>
      <c r="K9">
        <v>20</v>
      </c>
      <c r="L9" t="s">
        <v>109</v>
      </c>
      <c r="M9" t="s">
        <v>110</v>
      </c>
      <c r="N9" t="s">
        <v>127</v>
      </c>
      <c r="O9" t="s">
        <v>111</v>
      </c>
      <c r="P9" t="s">
        <v>128</v>
      </c>
      <c r="R9" t="s">
        <v>82</v>
      </c>
      <c r="S9">
        <v>15000000</v>
      </c>
      <c r="T9" t="b">
        <v>0</v>
      </c>
      <c r="V9" t="b">
        <v>0</v>
      </c>
      <c r="W9">
        <v>1</v>
      </c>
      <c r="X9">
        <v>8.3969883641341543</v>
      </c>
      <c r="Y9">
        <v>1</v>
      </c>
      <c r="Z9" t="s">
        <v>113</v>
      </c>
      <c r="AA9" t="b">
        <v>0</v>
      </c>
      <c r="AB9">
        <v>5.0000000000000001E-3</v>
      </c>
      <c r="AC9">
        <v>6.4000000000000001E-2</v>
      </c>
      <c r="AD9">
        <v>0.08</v>
      </c>
      <c r="AE9">
        <v>60</v>
      </c>
      <c r="AF9">
        <v>0.4</v>
      </c>
      <c r="AG9">
        <v>0</v>
      </c>
      <c r="AH9">
        <v>900000000</v>
      </c>
      <c r="AI9" t="s">
        <v>84</v>
      </c>
      <c r="AJ9" t="b">
        <v>0</v>
      </c>
      <c r="AK9" t="s">
        <v>85</v>
      </c>
      <c r="AL9" t="b">
        <v>0</v>
      </c>
      <c r="AM9" t="s">
        <v>129</v>
      </c>
      <c r="AN9" t="s">
        <v>115</v>
      </c>
      <c r="AO9">
        <v>11315682.13731781</v>
      </c>
      <c r="AP9" t="b">
        <v>1</v>
      </c>
      <c r="AQ9" t="b">
        <v>0</v>
      </c>
      <c r="AR9">
        <v>0</v>
      </c>
      <c r="AS9" t="s">
        <v>116</v>
      </c>
      <c r="AT9" t="s">
        <v>130</v>
      </c>
      <c r="AU9">
        <v>1.98</v>
      </c>
      <c r="AV9" t="s">
        <v>131</v>
      </c>
      <c r="AW9" t="b">
        <v>0</v>
      </c>
      <c r="AX9" t="b">
        <v>0</v>
      </c>
      <c r="AY9">
        <v>0.15</v>
      </c>
      <c r="AZ9" s="4">
        <v>11315682.13731781</v>
      </c>
      <c r="BA9" s="5">
        <f t="shared" si="0"/>
        <v>1792404.0505511411</v>
      </c>
    </row>
    <row r="10" spans="1:53" x14ac:dyDescent="0.35">
      <c r="A10">
        <v>71</v>
      </c>
      <c r="B10" t="s">
        <v>132</v>
      </c>
      <c r="C10" t="s">
        <v>106</v>
      </c>
      <c r="D10" t="s">
        <v>100</v>
      </c>
      <c r="E10" t="s">
        <v>107</v>
      </c>
      <c r="F10" s="2">
        <v>45444</v>
      </c>
      <c r="G10" s="2">
        <v>49125</v>
      </c>
      <c r="H10">
        <v>3.95</v>
      </c>
      <c r="I10" t="s">
        <v>108</v>
      </c>
      <c r="J10">
        <v>25</v>
      </c>
      <c r="K10">
        <v>100</v>
      </c>
      <c r="L10" t="s">
        <v>133</v>
      </c>
      <c r="M10" t="s">
        <v>110</v>
      </c>
      <c r="N10" t="s">
        <v>78</v>
      </c>
      <c r="O10" t="s">
        <v>111</v>
      </c>
      <c r="P10" t="s">
        <v>112</v>
      </c>
      <c r="R10" t="s">
        <v>82</v>
      </c>
      <c r="S10">
        <v>-1000000</v>
      </c>
      <c r="T10" t="b">
        <v>0</v>
      </c>
      <c r="V10" t="b">
        <v>1</v>
      </c>
      <c r="W10">
        <v>1</v>
      </c>
      <c r="X10">
        <v>8.3969883641341543</v>
      </c>
      <c r="Y10">
        <v>1</v>
      </c>
      <c r="Z10" t="s">
        <v>113</v>
      </c>
      <c r="AA10" t="b">
        <v>0</v>
      </c>
      <c r="AB10">
        <v>0</v>
      </c>
      <c r="AC10">
        <v>6.4000000000000001E-2</v>
      </c>
      <c r="AD10">
        <v>0.08</v>
      </c>
      <c r="AE10">
        <v>60</v>
      </c>
      <c r="AF10">
        <v>0.4</v>
      </c>
      <c r="AG10">
        <v>0</v>
      </c>
      <c r="AH10">
        <v>1100000000</v>
      </c>
      <c r="AI10" t="s">
        <v>84</v>
      </c>
      <c r="AJ10" t="b">
        <v>0</v>
      </c>
      <c r="AK10" t="s">
        <v>134</v>
      </c>
      <c r="AL10" t="b">
        <v>0</v>
      </c>
      <c r="AM10" t="s">
        <v>135</v>
      </c>
      <c r="AN10" t="s">
        <v>115</v>
      </c>
      <c r="AO10">
        <v>-896980.43539079966</v>
      </c>
      <c r="AP10" t="b">
        <v>0</v>
      </c>
      <c r="AQ10" t="b">
        <v>0</v>
      </c>
      <c r="AR10">
        <v>0</v>
      </c>
      <c r="AS10" t="s">
        <v>136</v>
      </c>
      <c r="AT10" t="s">
        <v>137</v>
      </c>
      <c r="AU10">
        <v>12.5</v>
      </c>
      <c r="AV10" t="s">
        <v>138</v>
      </c>
      <c r="AW10" t="b">
        <v>0</v>
      </c>
      <c r="AX10" t="b">
        <v>0</v>
      </c>
      <c r="AY10">
        <v>0</v>
      </c>
      <c r="AZ10" s="4">
        <v>-896980.43539079966</v>
      </c>
      <c r="BA10" s="5">
        <f t="shared" si="0"/>
        <v>-896980.43539079966</v>
      </c>
    </row>
    <row r="11" spans="1:53" x14ac:dyDescent="0.35">
      <c r="A11">
        <v>43</v>
      </c>
      <c r="B11" t="s">
        <v>139</v>
      </c>
      <c r="C11" t="s">
        <v>140</v>
      </c>
      <c r="D11" t="s">
        <v>73</v>
      </c>
      <c r="E11" t="s">
        <v>74</v>
      </c>
      <c r="F11" s="2">
        <v>43661</v>
      </c>
      <c r="G11" s="2">
        <v>47771</v>
      </c>
      <c r="H11">
        <v>3.95</v>
      </c>
      <c r="I11" t="s">
        <v>141</v>
      </c>
      <c r="J11">
        <v>30</v>
      </c>
      <c r="K11">
        <v>100</v>
      </c>
      <c r="L11" t="s">
        <v>142</v>
      </c>
      <c r="M11" t="s">
        <v>143</v>
      </c>
      <c r="N11" t="s">
        <v>78</v>
      </c>
      <c r="O11" t="s">
        <v>144</v>
      </c>
      <c r="P11" t="s">
        <v>145</v>
      </c>
      <c r="R11" t="s">
        <v>82</v>
      </c>
      <c r="S11">
        <v>2000000</v>
      </c>
      <c r="T11" t="b">
        <v>0</v>
      </c>
      <c r="V11" t="b">
        <v>1</v>
      </c>
      <c r="W11">
        <v>1</v>
      </c>
      <c r="X11">
        <v>4.6899383983572891</v>
      </c>
      <c r="Y11">
        <v>1</v>
      </c>
      <c r="Z11" t="s">
        <v>146</v>
      </c>
      <c r="AA11" t="b">
        <v>0</v>
      </c>
      <c r="AB11">
        <v>1.2E-2</v>
      </c>
      <c r="AC11">
        <v>0.1</v>
      </c>
      <c r="AD11">
        <v>0.08</v>
      </c>
      <c r="AE11">
        <v>150</v>
      </c>
      <c r="AF11">
        <v>0.45</v>
      </c>
      <c r="AG11">
        <v>0</v>
      </c>
      <c r="AH11">
        <v>500000000</v>
      </c>
      <c r="AI11" t="s">
        <v>84</v>
      </c>
      <c r="AJ11" t="b">
        <v>0</v>
      </c>
      <c r="AK11" t="s">
        <v>85</v>
      </c>
      <c r="AL11" t="b">
        <v>0</v>
      </c>
      <c r="AM11" t="s">
        <v>147</v>
      </c>
      <c r="AN11" t="s">
        <v>148</v>
      </c>
      <c r="AO11">
        <v>1481099.624861615</v>
      </c>
      <c r="AP11" t="b">
        <v>1</v>
      </c>
      <c r="AQ11" t="b">
        <v>0</v>
      </c>
      <c r="AR11">
        <v>0</v>
      </c>
      <c r="AS11" t="s">
        <v>116</v>
      </c>
      <c r="AT11" t="s">
        <v>149</v>
      </c>
      <c r="AU11">
        <v>0.15</v>
      </c>
      <c r="AV11" t="s">
        <v>150</v>
      </c>
      <c r="AW11" t="b">
        <v>0</v>
      </c>
      <c r="AX11" t="b">
        <v>0</v>
      </c>
      <c r="AY11">
        <v>0.15</v>
      </c>
      <c r="AZ11" s="4">
        <v>1481099.624861615</v>
      </c>
      <c r="BA11" s="5">
        <f t="shared" si="0"/>
        <v>17773.195498339381</v>
      </c>
    </row>
    <row r="12" spans="1:53" x14ac:dyDescent="0.35">
      <c r="A12">
        <v>44</v>
      </c>
      <c r="B12" t="s">
        <v>151</v>
      </c>
      <c r="C12" t="s">
        <v>152</v>
      </c>
      <c r="D12" t="s">
        <v>73</v>
      </c>
      <c r="E12" t="s">
        <v>107</v>
      </c>
      <c r="F12" s="2">
        <v>45153</v>
      </c>
      <c r="G12" s="2">
        <v>47771</v>
      </c>
      <c r="H12">
        <v>3.95</v>
      </c>
      <c r="I12" t="s">
        <v>141</v>
      </c>
      <c r="J12">
        <v>15</v>
      </c>
      <c r="K12">
        <v>30</v>
      </c>
      <c r="L12" t="s">
        <v>142</v>
      </c>
      <c r="M12" t="s">
        <v>143</v>
      </c>
      <c r="N12" t="s">
        <v>94</v>
      </c>
      <c r="O12" t="s">
        <v>144</v>
      </c>
      <c r="P12" t="s">
        <v>153</v>
      </c>
      <c r="R12" t="s">
        <v>82</v>
      </c>
      <c r="S12">
        <v>4500000</v>
      </c>
      <c r="T12" t="b">
        <v>0</v>
      </c>
      <c r="V12" t="b">
        <v>0</v>
      </c>
      <c r="W12">
        <v>1</v>
      </c>
      <c r="X12">
        <v>4.6899383983572891</v>
      </c>
      <c r="Y12">
        <v>1</v>
      </c>
      <c r="Z12" t="s">
        <v>146</v>
      </c>
      <c r="AA12" t="b">
        <v>0</v>
      </c>
      <c r="AB12">
        <v>1.2E-2</v>
      </c>
      <c r="AC12">
        <v>0.1</v>
      </c>
      <c r="AD12">
        <v>0.08</v>
      </c>
      <c r="AE12">
        <v>150</v>
      </c>
      <c r="AF12">
        <v>0.45</v>
      </c>
      <c r="AG12">
        <v>0</v>
      </c>
      <c r="AH12">
        <v>500000000</v>
      </c>
      <c r="AI12" t="s">
        <v>84</v>
      </c>
      <c r="AJ12" t="b">
        <v>0</v>
      </c>
      <c r="AK12" t="s">
        <v>85</v>
      </c>
      <c r="AL12" t="b">
        <v>0</v>
      </c>
      <c r="AM12" t="s">
        <v>154</v>
      </c>
      <c r="AN12" t="s">
        <v>148</v>
      </c>
      <c r="AO12">
        <v>4235742.9283229131</v>
      </c>
      <c r="AP12" t="b">
        <v>1</v>
      </c>
      <c r="AQ12" t="b">
        <v>0</v>
      </c>
      <c r="AR12">
        <v>0</v>
      </c>
      <c r="AS12" t="s">
        <v>116</v>
      </c>
      <c r="AT12" t="s">
        <v>117</v>
      </c>
      <c r="AU12">
        <v>0.255</v>
      </c>
      <c r="AV12" t="s">
        <v>155</v>
      </c>
      <c r="AW12" t="b">
        <v>0</v>
      </c>
      <c r="AX12" t="b">
        <v>0</v>
      </c>
      <c r="AY12">
        <v>0.15</v>
      </c>
      <c r="AZ12" s="4">
        <v>4235742.9283229131</v>
      </c>
      <c r="BA12" s="5">
        <f t="shared" si="0"/>
        <v>86409.155737787427</v>
      </c>
    </row>
    <row r="13" spans="1:53" x14ac:dyDescent="0.35">
      <c r="A13">
        <v>45</v>
      </c>
      <c r="B13" t="s">
        <v>156</v>
      </c>
      <c r="C13" t="s">
        <v>152</v>
      </c>
      <c r="D13" t="s">
        <v>73</v>
      </c>
      <c r="E13" t="s">
        <v>107</v>
      </c>
      <c r="F13" s="2">
        <v>45153</v>
      </c>
      <c r="G13" s="2">
        <v>47771</v>
      </c>
      <c r="H13">
        <v>3.95</v>
      </c>
      <c r="I13" t="s">
        <v>141</v>
      </c>
      <c r="J13">
        <v>15</v>
      </c>
      <c r="K13">
        <v>30</v>
      </c>
      <c r="L13" t="s">
        <v>142</v>
      </c>
      <c r="M13" t="s">
        <v>143</v>
      </c>
      <c r="N13" t="s">
        <v>94</v>
      </c>
      <c r="O13" t="s">
        <v>144</v>
      </c>
      <c r="P13" t="s">
        <v>157</v>
      </c>
      <c r="R13" t="s">
        <v>82</v>
      </c>
      <c r="S13">
        <v>20000000</v>
      </c>
      <c r="T13" t="b">
        <v>0</v>
      </c>
      <c r="V13" t="b">
        <v>0</v>
      </c>
      <c r="W13">
        <v>1</v>
      </c>
      <c r="X13">
        <v>4.6899383983572891</v>
      </c>
      <c r="Y13">
        <v>1</v>
      </c>
      <c r="Z13" t="s">
        <v>146</v>
      </c>
      <c r="AA13" t="b">
        <v>0</v>
      </c>
      <c r="AB13">
        <v>1.2E-2</v>
      </c>
      <c r="AC13">
        <v>0.1</v>
      </c>
      <c r="AD13">
        <v>0.08</v>
      </c>
      <c r="AE13">
        <v>150</v>
      </c>
      <c r="AF13">
        <v>0.45</v>
      </c>
      <c r="AG13">
        <v>0</v>
      </c>
      <c r="AH13">
        <v>500000000</v>
      </c>
      <c r="AI13" t="s">
        <v>84</v>
      </c>
      <c r="AJ13" t="b">
        <v>0</v>
      </c>
      <c r="AK13" t="s">
        <v>85</v>
      </c>
      <c r="AL13" t="b">
        <v>0</v>
      </c>
      <c r="AM13" t="s">
        <v>154</v>
      </c>
      <c r="AN13" t="s">
        <v>148</v>
      </c>
      <c r="AO13">
        <v>18825524.125879612</v>
      </c>
      <c r="AP13" t="b">
        <v>1</v>
      </c>
      <c r="AQ13" t="b">
        <v>0</v>
      </c>
      <c r="AR13">
        <v>0</v>
      </c>
      <c r="AS13" t="s">
        <v>116</v>
      </c>
      <c r="AT13" t="s">
        <v>117</v>
      </c>
      <c r="AU13">
        <v>0.255</v>
      </c>
      <c r="AV13" t="s">
        <v>155</v>
      </c>
      <c r="AW13" t="b">
        <v>0</v>
      </c>
      <c r="AX13" t="b">
        <v>0</v>
      </c>
      <c r="AY13">
        <v>0.15</v>
      </c>
      <c r="AZ13" s="4">
        <v>18825524.125879612</v>
      </c>
      <c r="BA13" s="5">
        <f t="shared" si="0"/>
        <v>384040.6921679441</v>
      </c>
    </row>
    <row r="14" spans="1:53" x14ac:dyDescent="0.35">
      <c r="A14">
        <v>70</v>
      </c>
      <c r="B14" t="s">
        <v>158</v>
      </c>
      <c r="C14" t="s">
        <v>140</v>
      </c>
      <c r="D14" t="s">
        <v>100</v>
      </c>
      <c r="E14" t="s">
        <v>74</v>
      </c>
      <c r="F14" s="2">
        <v>43661</v>
      </c>
      <c r="G14" s="2">
        <v>47771</v>
      </c>
      <c r="H14">
        <v>3.95</v>
      </c>
      <c r="I14" t="s">
        <v>141</v>
      </c>
      <c r="J14">
        <v>30</v>
      </c>
      <c r="K14">
        <v>100</v>
      </c>
      <c r="L14" t="s">
        <v>159</v>
      </c>
      <c r="M14" t="s">
        <v>143</v>
      </c>
      <c r="N14" t="s">
        <v>78</v>
      </c>
      <c r="O14" t="s">
        <v>144</v>
      </c>
      <c r="P14" t="s">
        <v>145</v>
      </c>
      <c r="R14" t="s">
        <v>82</v>
      </c>
      <c r="S14">
        <v>-20000000</v>
      </c>
      <c r="T14" t="b">
        <v>0</v>
      </c>
      <c r="V14" t="b">
        <v>1</v>
      </c>
      <c r="W14">
        <v>1</v>
      </c>
      <c r="X14">
        <v>4.6899383983572891</v>
      </c>
      <c r="Y14">
        <v>1</v>
      </c>
      <c r="Z14" t="s">
        <v>146</v>
      </c>
      <c r="AA14" t="b">
        <v>0</v>
      </c>
      <c r="AB14">
        <v>0</v>
      </c>
      <c r="AC14">
        <v>0.1</v>
      </c>
      <c r="AD14">
        <v>0.08</v>
      </c>
      <c r="AE14">
        <v>150</v>
      </c>
      <c r="AF14">
        <v>0.45</v>
      </c>
      <c r="AG14">
        <v>0</v>
      </c>
      <c r="AH14">
        <v>550000000</v>
      </c>
      <c r="AI14" t="s">
        <v>84</v>
      </c>
      <c r="AJ14" t="b">
        <v>0</v>
      </c>
      <c r="AK14" t="s">
        <v>85</v>
      </c>
      <c r="AL14" t="b">
        <v>0</v>
      </c>
      <c r="AM14" t="s">
        <v>160</v>
      </c>
      <c r="AN14" t="s">
        <v>148</v>
      </c>
      <c r="AO14">
        <v>-14791731.00244361</v>
      </c>
      <c r="AP14" t="b">
        <v>1</v>
      </c>
      <c r="AQ14" t="b">
        <v>0</v>
      </c>
      <c r="AR14">
        <v>0</v>
      </c>
      <c r="AS14" t="s">
        <v>116</v>
      </c>
      <c r="AT14" t="s">
        <v>149</v>
      </c>
      <c r="AU14">
        <v>0.15</v>
      </c>
      <c r="AV14" t="s">
        <v>150</v>
      </c>
      <c r="AW14" t="b">
        <v>0</v>
      </c>
      <c r="AX14" t="b">
        <v>0</v>
      </c>
      <c r="AY14">
        <v>0.15</v>
      </c>
      <c r="AZ14" s="4">
        <v>-14791731.00244361</v>
      </c>
      <c r="BA14" s="5">
        <f t="shared" si="0"/>
        <v>-177500.77202932333</v>
      </c>
    </row>
    <row r="15" spans="1:53" x14ac:dyDescent="0.35">
      <c r="A15">
        <v>46</v>
      </c>
      <c r="B15" t="s">
        <v>161</v>
      </c>
      <c r="C15" t="s">
        <v>162</v>
      </c>
      <c r="D15" t="s">
        <v>73</v>
      </c>
      <c r="E15" t="s">
        <v>163</v>
      </c>
      <c r="F15" s="2">
        <v>45930</v>
      </c>
      <c r="G15" s="2">
        <v>46295</v>
      </c>
      <c r="H15">
        <v>3.95</v>
      </c>
      <c r="I15" t="s">
        <v>164</v>
      </c>
      <c r="J15">
        <v>0</v>
      </c>
      <c r="K15">
        <v>100</v>
      </c>
      <c r="L15" t="s">
        <v>165</v>
      </c>
      <c r="M15" t="s">
        <v>166</v>
      </c>
      <c r="N15" t="s">
        <v>78</v>
      </c>
      <c r="O15" t="s">
        <v>167</v>
      </c>
      <c r="P15" t="s">
        <v>168</v>
      </c>
      <c r="Q15" t="s">
        <v>169</v>
      </c>
      <c r="R15" t="s">
        <v>82</v>
      </c>
      <c r="S15">
        <v>30000000</v>
      </c>
      <c r="T15" t="b">
        <v>0</v>
      </c>
      <c r="V15" t="b">
        <v>1</v>
      </c>
      <c r="W15">
        <v>1</v>
      </c>
      <c r="X15">
        <v>0.64887063655030797</v>
      </c>
      <c r="Y15">
        <v>0.64887063655030797</v>
      </c>
      <c r="Z15" t="s">
        <v>170</v>
      </c>
      <c r="AA15" t="b">
        <v>0</v>
      </c>
      <c r="AB15">
        <v>3.0000000000000001E-3</v>
      </c>
      <c r="AC15">
        <v>4.4999999999999998E-2</v>
      </c>
      <c r="AD15">
        <v>0.06</v>
      </c>
      <c r="AE15">
        <v>50</v>
      </c>
      <c r="AF15">
        <v>0.5</v>
      </c>
      <c r="AG15">
        <v>0</v>
      </c>
      <c r="AH15">
        <v>2500000000</v>
      </c>
      <c r="AI15" t="s">
        <v>84</v>
      </c>
      <c r="AJ15" t="b">
        <v>0</v>
      </c>
      <c r="AK15" t="s">
        <v>85</v>
      </c>
      <c r="AL15" t="b">
        <v>0</v>
      </c>
      <c r="AM15" t="s">
        <v>171</v>
      </c>
      <c r="AN15" t="s">
        <v>172</v>
      </c>
      <c r="AO15">
        <v>29973226.723900959</v>
      </c>
      <c r="AP15" t="b">
        <v>1</v>
      </c>
      <c r="AQ15" t="b">
        <v>0</v>
      </c>
      <c r="AR15">
        <v>0</v>
      </c>
      <c r="AS15" t="s">
        <v>116</v>
      </c>
      <c r="AT15" t="s">
        <v>173</v>
      </c>
      <c r="AU15">
        <v>0.15</v>
      </c>
      <c r="AV15" t="s">
        <v>174</v>
      </c>
      <c r="AW15" t="b">
        <v>0</v>
      </c>
      <c r="AX15" t="b">
        <v>0</v>
      </c>
      <c r="AY15">
        <v>0.15</v>
      </c>
      <c r="AZ15" s="4">
        <v>19448746.703804322</v>
      </c>
      <c r="BA15" s="5">
        <f t="shared" si="0"/>
        <v>233384.96044565187</v>
      </c>
    </row>
    <row r="16" spans="1:53" x14ac:dyDescent="0.35">
      <c r="A16">
        <v>47</v>
      </c>
      <c r="B16" t="s">
        <v>175</v>
      </c>
      <c r="C16" t="s">
        <v>162</v>
      </c>
      <c r="D16" t="s">
        <v>73</v>
      </c>
      <c r="E16" t="s">
        <v>74</v>
      </c>
      <c r="F16" s="2">
        <v>45366</v>
      </c>
      <c r="G16" s="2">
        <v>47192</v>
      </c>
      <c r="H16">
        <v>3.95</v>
      </c>
      <c r="I16" t="s">
        <v>176</v>
      </c>
      <c r="J16">
        <v>12</v>
      </c>
      <c r="K16">
        <v>100</v>
      </c>
      <c r="L16" t="s">
        <v>177</v>
      </c>
      <c r="M16" t="s">
        <v>178</v>
      </c>
      <c r="N16" t="s">
        <v>78</v>
      </c>
      <c r="O16" t="s">
        <v>179</v>
      </c>
      <c r="P16" t="s">
        <v>180</v>
      </c>
      <c r="R16" t="s">
        <v>82</v>
      </c>
      <c r="S16">
        <v>15000000</v>
      </c>
      <c r="T16" t="b">
        <v>0</v>
      </c>
      <c r="V16" t="b">
        <v>1</v>
      </c>
      <c r="W16">
        <v>1</v>
      </c>
      <c r="X16">
        <v>3.1047227926078032</v>
      </c>
      <c r="Y16">
        <v>1</v>
      </c>
      <c r="Z16" t="s">
        <v>181</v>
      </c>
      <c r="AA16" t="b">
        <v>0</v>
      </c>
      <c r="AB16">
        <v>1.7999999999999999E-2</v>
      </c>
      <c r="AC16">
        <v>2.4E-2</v>
      </c>
      <c r="AD16">
        <v>0.04</v>
      </c>
      <c r="AE16">
        <v>100000</v>
      </c>
      <c r="AF16">
        <v>0.65</v>
      </c>
      <c r="AG16">
        <v>0</v>
      </c>
      <c r="AH16">
        <v>750000000</v>
      </c>
      <c r="AI16" t="s">
        <v>84</v>
      </c>
      <c r="AJ16" t="b">
        <v>1</v>
      </c>
      <c r="AK16" t="s">
        <v>85</v>
      </c>
      <c r="AL16" t="b">
        <v>0</v>
      </c>
      <c r="AM16" t="s">
        <v>182</v>
      </c>
      <c r="AN16" t="s">
        <v>183</v>
      </c>
      <c r="AO16">
        <v>14955356.818847559</v>
      </c>
      <c r="AP16" t="b">
        <v>1</v>
      </c>
      <c r="AQ16" t="b">
        <v>1</v>
      </c>
      <c r="AR16">
        <v>1</v>
      </c>
      <c r="AS16" t="s">
        <v>88</v>
      </c>
      <c r="AT16" t="s">
        <v>89</v>
      </c>
      <c r="AU16">
        <v>0.15</v>
      </c>
      <c r="AV16" t="s">
        <v>184</v>
      </c>
      <c r="AW16" t="b">
        <v>0</v>
      </c>
      <c r="AX16" t="b">
        <v>0</v>
      </c>
      <c r="AY16">
        <v>0.15</v>
      </c>
      <c r="AZ16" s="4">
        <v>14955356.818847559</v>
      </c>
      <c r="BA16" s="5">
        <f t="shared" si="0"/>
        <v>179464.28182617071</v>
      </c>
    </row>
    <row r="17" spans="1:53" x14ac:dyDescent="0.35">
      <c r="A17">
        <v>48</v>
      </c>
      <c r="B17" t="s">
        <v>185</v>
      </c>
      <c r="C17" t="s">
        <v>186</v>
      </c>
      <c r="D17" t="s">
        <v>73</v>
      </c>
      <c r="E17" t="s">
        <v>107</v>
      </c>
      <c r="F17" s="2">
        <v>45366</v>
      </c>
      <c r="G17" s="2">
        <v>47192</v>
      </c>
      <c r="H17">
        <v>3.95</v>
      </c>
      <c r="I17" t="s">
        <v>187</v>
      </c>
      <c r="J17">
        <v>6</v>
      </c>
      <c r="K17">
        <v>12</v>
      </c>
      <c r="L17" t="s">
        <v>177</v>
      </c>
      <c r="M17" t="s">
        <v>178</v>
      </c>
      <c r="N17" t="s">
        <v>94</v>
      </c>
      <c r="O17" t="s">
        <v>179</v>
      </c>
      <c r="P17" t="s">
        <v>188</v>
      </c>
      <c r="R17" t="s">
        <v>82</v>
      </c>
      <c r="S17">
        <v>20000000</v>
      </c>
      <c r="T17" t="b">
        <v>0</v>
      </c>
      <c r="V17" t="b">
        <v>0</v>
      </c>
      <c r="W17">
        <v>1</v>
      </c>
      <c r="X17">
        <v>3.1047227926078032</v>
      </c>
      <c r="Y17">
        <v>1</v>
      </c>
      <c r="Z17" t="s">
        <v>181</v>
      </c>
      <c r="AA17" t="b">
        <v>0</v>
      </c>
      <c r="AB17">
        <v>1.7999999999999999E-2</v>
      </c>
      <c r="AC17">
        <v>2.4E-2</v>
      </c>
      <c r="AD17">
        <v>0.04</v>
      </c>
      <c r="AE17">
        <v>100000</v>
      </c>
      <c r="AF17">
        <v>0.65</v>
      </c>
      <c r="AG17">
        <v>0</v>
      </c>
      <c r="AH17">
        <v>750000000</v>
      </c>
      <c r="AI17" t="s">
        <v>84</v>
      </c>
      <c r="AJ17" t="b">
        <v>1</v>
      </c>
      <c r="AK17" t="s">
        <v>85</v>
      </c>
      <c r="AL17" t="b">
        <v>0</v>
      </c>
      <c r="AM17" t="s">
        <v>189</v>
      </c>
      <c r="AN17" t="s">
        <v>183</v>
      </c>
      <c r="AO17">
        <v>19739965.53118619</v>
      </c>
      <c r="AP17" t="b">
        <v>1</v>
      </c>
      <c r="AQ17" t="b">
        <v>1</v>
      </c>
      <c r="AR17">
        <v>1</v>
      </c>
      <c r="AS17" t="s">
        <v>88</v>
      </c>
      <c r="AT17" t="s">
        <v>89</v>
      </c>
      <c r="AU17">
        <v>0.15</v>
      </c>
      <c r="AV17" t="s">
        <v>190</v>
      </c>
      <c r="AW17" t="b">
        <v>0</v>
      </c>
      <c r="AX17" t="b">
        <v>0</v>
      </c>
      <c r="AY17">
        <v>0.15</v>
      </c>
      <c r="AZ17" s="4">
        <v>19739965.53118619</v>
      </c>
      <c r="BA17" s="5">
        <f t="shared" si="0"/>
        <v>236879.58637423426</v>
      </c>
    </row>
    <row r="18" spans="1:53" x14ac:dyDescent="0.35">
      <c r="A18">
        <v>49</v>
      </c>
      <c r="B18" t="s">
        <v>191</v>
      </c>
      <c r="C18" t="s">
        <v>186</v>
      </c>
      <c r="D18" t="s">
        <v>73</v>
      </c>
      <c r="E18" t="s">
        <v>93</v>
      </c>
      <c r="F18" s="2">
        <v>45366</v>
      </c>
      <c r="G18" s="2">
        <v>47192</v>
      </c>
      <c r="H18">
        <v>3.95</v>
      </c>
      <c r="I18" t="s">
        <v>192</v>
      </c>
      <c r="J18">
        <v>0</v>
      </c>
      <c r="K18">
        <v>6</v>
      </c>
      <c r="L18" t="s">
        <v>177</v>
      </c>
      <c r="M18" t="s">
        <v>178</v>
      </c>
      <c r="N18" t="s">
        <v>127</v>
      </c>
      <c r="O18" t="s">
        <v>179</v>
      </c>
      <c r="P18" t="s">
        <v>193</v>
      </c>
      <c r="Q18" t="s">
        <v>194</v>
      </c>
      <c r="R18" t="s">
        <v>82</v>
      </c>
      <c r="S18">
        <v>11000000</v>
      </c>
      <c r="T18" t="b">
        <v>0</v>
      </c>
      <c r="V18" t="b">
        <v>0</v>
      </c>
      <c r="W18">
        <v>1</v>
      </c>
      <c r="X18">
        <v>3.1047227926078032</v>
      </c>
      <c r="Y18">
        <v>1</v>
      </c>
      <c r="Z18" t="s">
        <v>181</v>
      </c>
      <c r="AA18" t="b">
        <v>0</v>
      </c>
      <c r="AB18">
        <v>1.7999999999999999E-2</v>
      </c>
      <c r="AC18">
        <v>2.4E-2</v>
      </c>
      <c r="AD18">
        <v>0.04</v>
      </c>
      <c r="AE18">
        <v>100000</v>
      </c>
      <c r="AF18">
        <v>0.65</v>
      </c>
      <c r="AG18">
        <v>0</v>
      </c>
      <c r="AH18">
        <v>750000000</v>
      </c>
      <c r="AI18" t="s">
        <v>84</v>
      </c>
      <c r="AJ18" t="b">
        <v>1</v>
      </c>
      <c r="AK18" t="s">
        <v>85</v>
      </c>
      <c r="AL18" t="b">
        <v>0</v>
      </c>
      <c r="AM18" t="s">
        <v>195</v>
      </c>
      <c r="AN18" t="s">
        <v>183</v>
      </c>
      <c r="AO18">
        <v>10457345.99348676</v>
      </c>
      <c r="AP18" t="b">
        <v>1</v>
      </c>
      <c r="AQ18" t="b">
        <v>1</v>
      </c>
      <c r="AR18">
        <v>1</v>
      </c>
      <c r="AS18" t="s">
        <v>88</v>
      </c>
      <c r="AT18" t="s">
        <v>89</v>
      </c>
      <c r="AU18">
        <v>7.3303225407237163</v>
      </c>
      <c r="AV18" t="s">
        <v>196</v>
      </c>
      <c r="AW18" t="b">
        <v>0</v>
      </c>
      <c r="AX18" t="b">
        <v>0</v>
      </c>
      <c r="AY18">
        <v>0.15</v>
      </c>
      <c r="AZ18" s="4">
        <v>10457345.99348676</v>
      </c>
      <c r="BA18" s="5">
        <f t="shared" si="0"/>
        <v>6132457.5241762269</v>
      </c>
    </row>
    <row r="19" spans="1:53" x14ac:dyDescent="0.35">
      <c r="A19">
        <v>72</v>
      </c>
      <c r="B19" t="s">
        <v>197</v>
      </c>
      <c r="C19" t="s">
        <v>162</v>
      </c>
      <c r="D19" t="s">
        <v>100</v>
      </c>
      <c r="E19" t="s">
        <v>74</v>
      </c>
      <c r="F19" s="2">
        <v>45366</v>
      </c>
      <c r="G19" s="2">
        <v>47192</v>
      </c>
      <c r="H19">
        <v>3.95</v>
      </c>
      <c r="I19" t="s">
        <v>176</v>
      </c>
      <c r="J19">
        <v>12</v>
      </c>
      <c r="K19">
        <v>100</v>
      </c>
      <c r="L19" t="s">
        <v>177</v>
      </c>
      <c r="M19" t="s">
        <v>178</v>
      </c>
      <c r="N19" t="s">
        <v>78</v>
      </c>
      <c r="O19" t="s">
        <v>179</v>
      </c>
      <c r="P19" t="s">
        <v>180</v>
      </c>
      <c r="R19" t="s">
        <v>82</v>
      </c>
      <c r="S19">
        <v>-15000000</v>
      </c>
      <c r="T19" t="b">
        <v>0</v>
      </c>
      <c r="V19" t="b">
        <v>1</v>
      </c>
      <c r="W19">
        <v>1</v>
      </c>
      <c r="X19">
        <v>3.1047227926078032</v>
      </c>
      <c r="Y19">
        <v>1</v>
      </c>
      <c r="Z19" t="s">
        <v>181</v>
      </c>
      <c r="AA19" t="b">
        <v>0</v>
      </c>
      <c r="AB19">
        <v>1.7999999999999999E-2</v>
      </c>
      <c r="AC19">
        <v>2.4E-2</v>
      </c>
      <c r="AD19">
        <v>0.04</v>
      </c>
      <c r="AE19">
        <v>100000</v>
      </c>
      <c r="AF19">
        <v>0.65</v>
      </c>
      <c r="AG19">
        <v>0</v>
      </c>
      <c r="AH19">
        <v>750000000</v>
      </c>
      <c r="AI19" t="s">
        <v>84</v>
      </c>
      <c r="AJ19" t="b">
        <v>1</v>
      </c>
      <c r="AK19" t="s">
        <v>85</v>
      </c>
      <c r="AL19" t="b">
        <v>0</v>
      </c>
      <c r="AM19" t="s">
        <v>182</v>
      </c>
      <c r="AN19" t="s">
        <v>183</v>
      </c>
      <c r="AO19">
        <v>-14955356.818847559</v>
      </c>
      <c r="AP19" t="b">
        <v>1</v>
      </c>
      <c r="AQ19" t="b">
        <v>1</v>
      </c>
      <c r="AR19">
        <v>1</v>
      </c>
      <c r="AS19" t="s">
        <v>88</v>
      </c>
      <c r="AT19" t="s">
        <v>89</v>
      </c>
      <c r="AU19">
        <v>0.15</v>
      </c>
      <c r="AV19" t="s">
        <v>184</v>
      </c>
      <c r="AW19" t="b">
        <v>0</v>
      </c>
      <c r="AX19" t="b">
        <v>0</v>
      </c>
      <c r="AY19">
        <v>0.15</v>
      </c>
      <c r="AZ19" s="4">
        <v>-14955356.818847559</v>
      </c>
      <c r="BA19" s="5">
        <f t="shared" si="0"/>
        <v>-179464.28182617071</v>
      </c>
    </row>
    <row r="20" spans="1:53" x14ac:dyDescent="0.35">
      <c r="A20">
        <v>50</v>
      </c>
      <c r="B20" t="s">
        <v>198</v>
      </c>
      <c r="C20" t="s">
        <v>199</v>
      </c>
      <c r="D20" t="s">
        <v>73</v>
      </c>
      <c r="E20" t="s">
        <v>74</v>
      </c>
      <c r="F20" s="2">
        <v>45458</v>
      </c>
      <c r="G20" s="2">
        <v>47299</v>
      </c>
      <c r="H20">
        <v>3.95</v>
      </c>
      <c r="I20" t="s">
        <v>200</v>
      </c>
      <c r="J20">
        <v>15</v>
      </c>
      <c r="K20">
        <v>100</v>
      </c>
      <c r="L20" t="s">
        <v>201</v>
      </c>
      <c r="M20" t="s">
        <v>202</v>
      </c>
      <c r="N20" t="s">
        <v>78</v>
      </c>
      <c r="O20" t="s">
        <v>203</v>
      </c>
      <c r="P20" t="s">
        <v>204</v>
      </c>
      <c r="R20" t="s">
        <v>82</v>
      </c>
      <c r="S20">
        <v>80000000</v>
      </c>
      <c r="T20" t="b">
        <v>0</v>
      </c>
      <c r="V20" t="b">
        <v>1</v>
      </c>
      <c r="W20">
        <v>1</v>
      </c>
      <c r="X20">
        <v>3.397672826830938</v>
      </c>
      <c r="Y20">
        <v>1</v>
      </c>
      <c r="Z20" t="s">
        <v>205</v>
      </c>
      <c r="AA20" t="b">
        <v>1</v>
      </c>
      <c r="AB20">
        <v>1.0999999999999999E-2</v>
      </c>
      <c r="AC20">
        <v>2.8000000000000001E-2</v>
      </c>
      <c r="AD20">
        <v>0.04</v>
      </c>
      <c r="AE20">
        <v>30000</v>
      </c>
      <c r="AF20">
        <v>0.45</v>
      </c>
      <c r="AG20">
        <v>0</v>
      </c>
      <c r="AH20">
        <v>1000000000</v>
      </c>
      <c r="AI20" t="s">
        <v>84</v>
      </c>
      <c r="AJ20" t="b">
        <v>0</v>
      </c>
      <c r="AK20" t="s">
        <v>85</v>
      </c>
      <c r="AL20" t="b">
        <v>0</v>
      </c>
      <c r="AM20" t="s">
        <v>206</v>
      </c>
      <c r="AN20" t="s">
        <v>207</v>
      </c>
      <c r="AO20">
        <v>53120622.142382063</v>
      </c>
      <c r="AP20" t="b">
        <v>1</v>
      </c>
      <c r="AQ20" t="b">
        <v>1</v>
      </c>
      <c r="AR20">
        <v>0</v>
      </c>
      <c r="AS20" t="s">
        <v>116</v>
      </c>
      <c r="AT20" t="s">
        <v>149</v>
      </c>
      <c r="AU20">
        <v>0.1</v>
      </c>
      <c r="AV20" t="s">
        <v>208</v>
      </c>
      <c r="AW20" t="b">
        <v>0</v>
      </c>
      <c r="AX20" t="b">
        <v>0</v>
      </c>
      <c r="AY20">
        <v>0.1</v>
      </c>
      <c r="AZ20" s="4">
        <v>53120622.142382063</v>
      </c>
      <c r="BA20" s="5">
        <f t="shared" si="0"/>
        <v>424964.97713905654</v>
      </c>
    </row>
    <row r="21" spans="1:53" x14ac:dyDescent="0.35">
      <c r="A21">
        <v>51</v>
      </c>
      <c r="B21" t="s">
        <v>209</v>
      </c>
      <c r="C21" t="s">
        <v>210</v>
      </c>
      <c r="D21" t="s">
        <v>100</v>
      </c>
      <c r="E21" t="s">
        <v>120</v>
      </c>
      <c r="F21" s="2">
        <v>45458</v>
      </c>
      <c r="G21" s="2">
        <v>47299</v>
      </c>
      <c r="H21">
        <v>3.95</v>
      </c>
      <c r="I21" t="s">
        <v>200</v>
      </c>
      <c r="J21">
        <v>5</v>
      </c>
      <c r="K21">
        <v>15</v>
      </c>
      <c r="L21" t="s">
        <v>201</v>
      </c>
      <c r="M21" t="s">
        <v>202</v>
      </c>
      <c r="N21" t="s">
        <v>94</v>
      </c>
      <c r="O21" t="s">
        <v>203</v>
      </c>
      <c r="P21" t="s">
        <v>211</v>
      </c>
      <c r="Q21" t="s">
        <v>212</v>
      </c>
      <c r="R21" t="s">
        <v>82</v>
      </c>
      <c r="S21">
        <v>-12000000</v>
      </c>
      <c r="T21" t="b">
        <v>0</v>
      </c>
      <c r="V21" t="b">
        <v>0</v>
      </c>
      <c r="W21">
        <v>1</v>
      </c>
      <c r="X21">
        <v>3.397672826830938</v>
      </c>
      <c r="Y21">
        <v>1</v>
      </c>
      <c r="Z21" t="s">
        <v>205</v>
      </c>
      <c r="AA21" t="b">
        <v>1</v>
      </c>
      <c r="AB21">
        <v>1.0999999999999999E-2</v>
      </c>
      <c r="AC21">
        <v>2.8000000000000001E-2</v>
      </c>
      <c r="AD21">
        <v>0.04</v>
      </c>
      <c r="AE21">
        <v>30000</v>
      </c>
      <c r="AF21">
        <v>0.45</v>
      </c>
      <c r="AG21">
        <v>0</v>
      </c>
      <c r="AH21">
        <v>1000000000</v>
      </c>
      <c r="AI21" t="s">
        <v>84</v>
      </c>
      <c r="AJ21" t="b">
        <v>0</v>
      </c>
      <c r="AK21" t="s">
        <v>85</v>
      </c>
      <c r="AL21" t="b">
        <v>0</v>
      </c>
      <c r="AM21" t="s">
        <v>213</v>
      </c>
      <c r="AN21" t="s">
        <v>207</v>
      </c>
      <c r="AO21">
        <v>-7848559.7242577868</v>
      </c>
      <c r="AP21" t="b">
        <v>1</v>
      </c>
      <c r="AQ21" t="b">
        <v>1</v>
      </c>
      <c r="AR21">
        <v>0</v>
      </c>
      <c r="AS21" t="s">
        <v>116</v>
      </c>
      <c r="AT21" t="s">
        <v>123</v>
      </c>
      <c r="AU21">
        <v>0.54</v>
      </c>
      <c r="AV21" t="s">
        <v>214</v>
      </c>
      <c r="AW21" t="b">
        <v>0</v>
      </c>
      <c r="AX21" t="b">
        <v>0</v>
      </c>
      <c r="AY21">
        <v>0.15</v>
      </c>
      <c r="AZ21" s="4">
        <v>-7848559.7242577868</v>
      </c>
      <c r="BA21" s="5">
        <f t="shared" si="0"/>
        <v>-339057.78008793644</v>
      </c>
    </row>
    <row r="22" spans="1:53" x14ac:dyDescent="0.35">
      <c r="A22">
        <v>73</v>
      </c>
      <c r="B22" t="s">
        <v>215</v>
      </c>
      <c r="C22" t="s">
        <v>140</v>
      </c>
      <c r="D22" t="s">
        <v>73</v>
      </c>
      <c r="F22" s="2">
        <v>45672</v>
      </c>
      <c r="G22" s="2">
        <v>47154</v>
      </c>
      <c r="H22">
        <v>1.1000000000000001</v>
      </c>
      <c r="I22" t="s">
        <v>216</v>
      </c>
      <c r="J22">
        <v>0</v>
      </c>
      <c r="K22">
        <v>100</v>
      </c>
      <c r="L22" t="s">
        <v>165</v>
      </c>
      <c r="M22" t="s">
        <v>166</v>
      </c>
      <c r="N22" t="s">
        <v>78</v>
      </c>
      <c r="O22" t="s">
        <v>167</v>
      </c>
      <c r="P22" t="s">
        <v>217</v>
      </c>
      <c r="Q22" t="s">
        <v>218</v>
      </c>
      <c r="R22" t="s">
        <v>219</v>
      </c>
      <c r="S22">
        <v>50000000</v>
      </c>
      <c r="T22" t="b">
        <v>1</v>
      </c>
      <c r="U22" t="s">
        <v>220</v>
      </c>
      <c r="V22" t="b">
        <v>1</v>
      </c>
      <c r="W22">
        <v>1</v>
      </c>
      <c r="X22">
        <v>3.0006844626967828</v>
      </c>
      <c r="Y22">
        <v>1</v>
      </c>
      <c r="Z22" t="s">
        <v>170</v>
      </c>
      <c r="AA22" t="b">
        <v>0</v>
      </c>
      <c r="AB22">
        <v>3.0000000000000001E-3</v>
      </c>
      <c r="AC22">
        <v>4.4999999999999998E-2</v>
      </c>
      <c r="AD22">
        <v>0.06</v>
      </c>
      <c r="AE22">
        <v>50</v>
      </c>
      <c r="AF22">
        <v>0.5</v>
      </c>
      <c r="AG22">
        <v>0</v>
      </c>
      <c r="AH22">
        <v>2500000000</v>
      </c>
      <c r="AI22" t="s">
        <v>84</v>
      </c>
      <c r="AJ22" t="b">
        <v>0</v>
      </c>
      <c r="AK22" t="s">
        <v>85</v>
      </c>
      <c r="AL22" t="b">
        <v>0</v>
      </c>
      <c r="AM22" t="s">
        <v>221</v>
      </c>
      <c r="AN22" t="s">
        <v>172</v>
      </c>
      <c r="AO22">
        <v>45059822.898555256</v>
      </c>
      <c r="AP22" t="b">
        <v>1</v>
      </c>
      <c r="AQ22" t="b">
        <v>0</v>
      </c>
      <c r="AR22">
        <v>0</v>
      </c>
      <c r="AS22" t="s">
        <v>222</v>
      </c>
      <c r="AT22" t="s">
        <v>223</v>
      </c>
      <c r="AU22">
        <v>0.5</v>
      </c>
      <c r="AV22" t="s">
        <v>224</v>
      </c>
      <c r="AW22" t="b">
        <v>0</v>
      </c>
      <c r="AX22" t="b">
        <v>0</v>
      </c>
      <c r="AY22">
        <v>0</v>
      </c>
      <c r="AZ22" s="4">
        <v>45059822.898555256</v>
      </c>
      <c r="BA22" s="5">
        <f t="shared" si="0"/>
        <v>1802392.9159422102</v>
      </c>
    </row>
    <row r="23" spans="1:53" x14ac:dyDescent="0.35">
      <c r="A23">
        <v>74</v>
      </c>
      <c r="B23" t="s">
        <v>225</v>
      </c>
      <c r="C23" t="s">
        <v>72</v>
      </c>
      <c r="D23" t="s">
        <v>73</v>
      </c>
      <c r="F23" s="2">
        <v>45444</v>
      </c>
      <c r="G23" s="2">
        <v>47519</v>
      </c>
      <c r="H23">
        <v>9.5</v>
      </c>
      <c r="I23" t="s">
        <v>226</v>
      </c>
      <c r="J23">
        <v>20</v>
      </c>
      <c r="K23">
        <v>100</v>
      </c>
      <c r="L23" t="s">
        <v>227</v>
      </c>
      <c r="M23" t="s">
        <v>77</v>
      </c>
      <c r="N23" t="s">
        <v>78</v>
      </c>
      <c r="O23" t="s">
        <v>79</v>
      </c>
      <c r="P23" t="s">
        <v>228</v>
      </c>
      <c r="Q23" t="s">
        <v>229</v>
      </c>
      <c r="R23" t="s">
        <v>82</v>
      </c>
      <c r="S23">
        <v>20000000</v>
      </c>
      <c r="T23" t="b">
        <v>0</v>
      </c>
      <c r="V23" t="b">
        <v>1</v>
      </c>
      <c r="W23">
        <v>1</v>
      </c>
      <c r="X23">
        <v>4</v>
      </c>
      <c r="Y23">
        <v>1</v>
      </c>
      <c r="Z23" t="s">
        <v>230</v>
      </c>
      <c r="AA23" t="b">
        <v>0</v>
      </c>
      <c r="AB23">
        <v>0.95</v>
      </c>
      <c r="AC23">
        <v>0.08</v>
      </c>
      <c r="AD23">
        <v>0.08</v>
      </c>
      <c r="AE23">
        <v>3000</v>
      </c>
      <c r="AF23">
        <v>0.4</v>
      </c>
      <c r="AG23">
        <v>0</v>
      </c>
      <c r="AH23">
        <v>300000000</v>
      </c>
      <c r="AI23" t="s">
        <v>84</v>
      </c>
      <c r="AJ23" t="b">
        <v>0</v>
      </c>
      <c r="AK23" t="s">
        <v>85</v>
      </c>
      <c r="AL23" t="b">
        <v>1</v>
      </c>
      <c r="AM23" t="s">
        <v>231</v>
      </c>
      <c r="AN23" t="s">
        <v>87</v>
      </c>
      <c r="AO23">
        <v>15388168.172536621</v>
      </c>
      <c r="AP23" t="b">
        <v>1</v>
      </c>
      <c r="AQ23" t="b">
        <v>1</v>
      </c>
      <c r="AR23">
        <v>0</v>
      </c>
      <c r="AS23" t="s">
        <v>232</v>
      </c>
      <c r="AT23" t="s">
        <v>233</v>
      </c>
      <c r="AU23">
        <v>9.3215416634145889</v>
      </c>
      <c r="AV23" t="s">
        <v>234</v>
      </c>
      <c r="AW23" t="b">
        <v>0</v>
      </c>
      <c r="AX23" t="b">
        <v>1</v>
      </c>
      <c r="AY23">
        <v>0.15</v>
      </c>
      <c r="AZ23" s="4">
        <v>15388168.172536621</v>
      </c>
      <c r="BA23" s="5">
        <f t="shared" si="0"/>
        <v>11475316.059514437</v>
      </c>
    </row>
    <row r="24" spans="1:53" x14ac:dyDescent="0.35">
      <c r="A24">
        <v>75</v>
      </c>
      <c r="B24" t="s">
        <v>235</v>
      </c>
      <c r="C24" t="s">
        <v>140</v>
      </c>
      <c r="D24" t="s">
        <v>73</v>
      </c>
      <c r="F24" s="2">
        <v>45536</v>
      </c>
      <c r="G24" s="2">
        <v>47335</v>
      </c>
      <c r="H24">
        <v>6.2</v>
      </c>
      <c r="I24" t="s">
        <v>236</v>
      </c>
      <c r="J24">
        <v>25</v>
      </c>
      <c r="K24">
        <v>100</v>
      </c>
      <c r="L24" t="s">
        <v>237</v>
      </c>
      <c r="M24" t="s">
        <v>178</v>
      </c>
      <c r="N24" t="s">
        <v>78</v>
      </c>
      <c r="O24" t="s">
        <v>238</v>
      </c>
      <c r="P24" t="s">
        <v>239</v>
      </c>
      <c r="Q24" t="s">
        <v>240</v>
      </c>
      <c r="R24" t="s">
        <v>82</v>
      </c>
      <c r="S24">
        <v>30000000</v>
      </c>
      <c r="T24" t="b">
        <v>0</v>
      </c>
      <c r="V24" t="b">
        <v>1</v>
      </c>
      <c r="W24">
        <v>1</v>
      </c>
      <c r="X24">
        <v>3.4962354551676929</v>
      </c>
      <c r="Y24">
        <v>1</v>
      </c>
      <c r="Z24" t="s">
        <v>181</v>
      </c>
      <c r="AA24" t="b">
        <v>0</v>
      </c>
      <c r="AB24">
        <v>0.95</v>
      </c>
      <c r="AC24">
        <v>0.12</v>
      </c>
      <c r="AD24">
        <v>0.08</v>
      </c>
      <c r="AE24">
        <v>50000</v>
      </c>
      <c r="AF24">
        <v>0.65</v>
      </c>
      <c r="AG24">
        <v>220000000</v>
      </c>
      <c r="AH24">
        <v>400000000</v>
      </c>
      <c r="AI24" t="s">
        <v>84</v>
      </c>
      <c r="AJ24" t="b">
        <v>1</v>
      </c>
      <c r="AK24" t="s">
        <v>85</v>
      </c>
      <c r="AL24" t="b">
        <v>1</v>
      </c>
      <c r="AM24" t="s">
        <v>241</v>
      </c>
      <c r="AN24" t="s">
        <v>183</v>
      </c>
      <c r="AO24">
        <v>26846718.81679843</v>
      </c>
      <c r="AP24" t="b">
        <v>1</v>
      </c>
      <c r="AQ24" t="b">
        <v>1</v>
      </c>
      <c r="AR24">
        <v>1</v>
      </c>
      <c r="AS24" t="s">
        <v>88</v>
      </c>
      <c r="AT24" t="s">
        <v>89</v>
      </c>
      <c r="AU24">
        <v>1</v>
      </c>
      <c r="AV24" t="s">
        <v>242</v>
      </c>
      <c r="AW24" t="b">
        <v>1</v>
      </c>
      <c r="AX24" t="b">
        <v>1</v>
      </c>
      <c r="AY24">
        <v>0.15</v>
      </c>
      <c r="AZ24" s="4">
        <v>26846718.81679843</v>
      </c>
      <c r="BA24" s="5">
        <f t="shared" si="0"/>
        <v>2147737.5053438745</v>
      </c>
    </row>
    <row r="25" spans="1:53" x14ac:dyDescent="0.35">
      <c r="A25">
        <v>76</v>
      </c>
      <c r="B25" t="s">
        <v>243</v>
      </c>
      <c r="C25" t="s">
        <v>140</v>
      </c>
      <c r="D25" t="s">
        <v>73</v>
      </c>
      <c r="F25" s="2">
        <v>45536</v>
      </c>
      <c r="G25" s="2">
        <v>47335</v>
      </c>
      <c r="H25">
        <v>8.8000000000000007</v>
      </c>
      <c r="I25" t="s">
        <v>236</v>
      </c>
      <c r="J25">
        <v>10</v>
      </c>
      <c r="K25">
        <v>25</v>
      </c>
      <c r="L25" t="s">
        <v>237</v>
      </c>
      <c r="M25" t="s">
        <v>178</v>
      </c>
      <c r="N25" t="s">
        <v>94</v>
      </c>
      <c r="O25" t="s">
        <v>238</v>
      </c>
      <c r="P25" t="s">
        <v>244</v>
      </c>
      <c r="Q25" t="s">
        <v>245</v>
      </c>
      <c r="R25" t="s">
        <v>82</v>
      </c>
      <c r="S25">
        <v>10000000</v>
      </c>
      <c r="T25" t="b">
        <v>0</v>
      </c>
      <c r="V25" t="b">
        <v>0</v>
      </c>
      <c r="W25">
        <v>1</v>
      </c>
      <c r="X25">
        <v>3.4962354551676929</v>
      </c>
      <c r="Y25">
        <v>1</v>
      </c>
      <c r="Z25" t="s">
        <v>181</v>
      </c>
      <c r="AA25" t="b">
        <v>0</v>
      </c>
      <c r="AB25">
        <v>0.95</v>
      </c>
      <c r="AC25">
        <v>0.12</v>
      </c>
      <c r="AD25">
        <v>0.08</v>
      </c>
      <c r="AE25">
        <v>50000</v>
      </c>
      <c r="AF25">
        <v>0.65</v>
      </c>
      <c r="AG25">
        <v>220000000</v>
      </c>
      <c r="AH25">
        <v>400000000</v>
      </c>
      <c r="AI25" t="s">
        <v>84</v>
      </c>
      <c r="AJ25" t="b">
        <v>1</v>
      </c>
      <c r="AK25" t="s">
        <v>85</v>
      </c>
      <c r="AL25" t="b">
        <v>1</v>
      </c>
      <c r="AM25" t="s">
        <v>246</v>
      </c>
      <c r="AN25" t="s">
        <v>183</v>
      </c>
      <c r="AO25">
        <v>8961092.9231316186</v>
      </c>
      <c r="AP25" t="b">
        <v>1</v>
      </c>
      <c r="AQ25" t="b">
        <v>1</v>
      </c>
      <c r="AR25">
        <v>1</v>
      </c>
      <c r="AS25" t="s">
        <v>88</v>
      </c>
      <c r="AT25" t="s">
        <v>89</v>
      </c>
      <c r="AU25">
        <v>4.5856012488130382</v>
      </c>
      <c r="AV25" t="s">
        <v>247</v>
      </c>
      <c r="AW25" t="b">
        <v>0</v>
      </c>
      <c r="AX25" t="b">
        <v>1</v>
      </c>
      <c r="AY25">
        <v>0.15</v>
      </c>
      <c r="AZ25" s="4">
        <v>8961092.9231316186</v>
      </c>
      <c r="BA25" s="5">
        <f t="shared" si="0"/>
        <v>3287359.9119233629</v>
      </c>
    </row>
    <row r="28" spans="1:53" x14ac:dyDescent="0.35">
      <c r="AT28">
        <f>12.5*0.08</f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0"/>
  <sheetViews>
    <sheetView workbookViewId="0"/>
  </sheetViews>
  <sheetFormatPr defaultRowHeight="14.5" x14ac:dyDescent="0.35"/>
  <sheetData>
    <row r="1" spans="1:14" x14ac:dyDescent="0.35">
      <c r="A1" s="1" t="s">
        <v>57</v>
      </c>
      <c r="B1" s="1" t="s">
        <v>30</v>
      </c>
      <c r="C1" s="1" t="s">
        <v>58</v>
      </c>
      <c r="D1" s="1" t="s">
        <v>28</v>
      </c>
      <c r="E1" s="1" t="s">
        <v>29</v>
      </c>
      <c r="F1" s="1" t="s">
        <v>36</v>
      </c>
      <c r="G1" s="1" t="s">
        <v>63</v>
      </c>
      <c r="H1" s="1" t="s">
        <v>40</v>
      </c>
      <c r="I1" s="1" t="s">
        <v>23</v>
      </c>
      <c r="J1" s="1" t="s">
        <v>65</v>
      </c>
      <c r="K1" s="1" t="s">
        <v>248</v>
      </c>
      <c r="L1" s="1" t="s">
        <v>249</v>
      </c>
      <c r="M1" s="1" t="s">
        <v>250</v>
      </c>
      <c r="N1" s="1" t="s">
        <v>251</v>
      </c>
    </row>
    <row r="2" spans="1:14" x14ac:dyDescent="0.35">
      <c r="A2" t="s">
        <v>206</v>
      </c>
      <c r="B2" t="s">
        <v>201</v>
      </c>
      <c r="C2" t="s">
        <v>207</v>
      </c>
      <c r="D2">
        <v>15</v>
      </c>
      <c r="E2">
        <v>100</v>
      </c>
      <c r="F2" t="s">
        <v>82</v>
      </c>
      <c r="G2" t="s">
        <v>116</v>
      </c>
      <c r="H2" t="b">
        <v>1</v>
      </c>
      <c r="I2" t="s">
        <v>74</v>
      </c>
      <c r="J2">
        <v>0.1</v>
      </c>
      <c r="K2">
        <v>53120622.142382063</v>
      </c>
      <c r="L2">
        <v>53120622.142382063</v>
      </c>
      <c r="M2">
        <v>53120622.142382063</v>
      </c>
      <c r="N2">
        <v>1</v>
      </c>
    </row>
    <row r="3" spans="1:14" x14ac:dyDescent="0.35">
      <c r="A3" t="s">
        <v>221</v>
      </c>
      <c r="B3" t="s">
        <v>165</v>
      </c>
      <c r="C3" t="s">
        <v>172</v>
      </c>
      <c r="D3">
        <v>0</v>
      </c>
      <c r="E3">
        <v>100</v>
      </c>
      <c r="F3" t="s">
        <v>219</v>
      </c>
      <c r="G3" t="s">
        <v>222</v>
      </c>
      <c r="H3" t="b">
        <v>1</v>
      </c>
      <c r="J3">
        <v>0.5</v>
      </c>
      <c r="K3">
        <v>45059822.898555256</v>
      </c>
      <c r="L3">
        <v>45059822.898555256</v>
      </c>
      <c r="M3">
        <v>45059822.898555256</v>
      </c>
      <c r="N3">
        <v>1</v>
      </c>
    </row>
    <row r="4" spans="1:14" x14ac:dyDescent="0.35">
      <c r="A4" t="s">
        <v>241</v>
      </c>
      <c r="B4" t="s">
        <v>237</v>
      </c>
      <c r="C4" t="s">
        <v>183</v>
      </c>
      <c r="D4">
        <v>25</v>
      </c>
      <c r="E4">
        <v>100</v>
      </c>
      <c r="F4" t="s">
        <v>82</v>
      </c>
      <c r="G4" t="s">
        <v>88</v>
      </c>
      <c r="H4" t="b">
        <v>1</v>
      </c>
      <c r="J4">
        <v>1</v>
      </c>
      <c r="K4">
        <v>26846718.81679843</v>
      </c>
      <c r="L4">
        <v>26846718.81679843</v>
      </c>
      <c r="M4">
        <v>26846718.81679843</v>
      </c>
      <c r="N4">
        <v>1</v>
      </c>
    </row>
    <row r="5" spans="1:14" x14ac:dyDescent="0.35">
      <c r="A5" t="s">
        <v>154</v>
      </c>
      <c r="B5" t="s">
        <v>142</v>
      </c>
      <c r="C5" t="s">
        <v>148</v>
      </c>
      <c r="D5">
        <v>15</v>
      </c>
      <c r="E5">
        <v>30</v>
      </c>
      <c r="F5" t="s">
        <v>82</v>
      </c>
      <c r="G5" t="s">
        <v>116</v>
      </c>
      <c r="H5" t="b">
        <v>0</v>
      </c>
      <c r="I5" t="s">
        <v>107</v>
      </c>
      <c r="J5">
        <v>0.255</v>
      </c>
      <c r="K5">
        <v>23061267.054202531</v>
      </c>
      <c r="L5">
        <v>23061267.054202531</v>
      </c>
      <c r="M5">
        <v>23061267.054202531</v>
      </c>
      <c r="N5">
        <v>2</v>
      </c>
    </row>
    <row r="6" spans="1:14" x14ac:dyDescent="0.35">
      <c r="A6" t="s">
        <v>189</v>
      </c>
      <c r="B6" t="s">
        <v>177</v>
      </c>
      <c r="C6" t="s">
        <v>183</v>
      </c>
      <c r="D6">
        <v>6</v>
      </c>
      <c r="E6">
        <v>12</v>
      </c>
      <c r="F6" t="s">
        <v>82</v>
      </c>
      <c r="G6" t="s">
        <v>88</v>
      </c>
      <c r="H6" t="b">
        <v>0</v>
      </c>
      <c r="I6" t="s">
        <v>107</v>
      </c>
      <c r="J6">
        <v>0.15</v>
      </c>
      <c r="K6">
        <v>19739965.53118619</v>
      </c>
      <c r="L6">
        <v>19739965.53118619</v>
      </c>
      <c r="M6">
        <v>19739965.53118619</v>
      </c>
      <c r="N6">
        <v>1</v>
      </c>
    </row>
    <row r="7" spans="1:14" x14ac:dyDescent="0.35">
      <c r="A7" t="s">
        <v>171</v>
      </c>
      <c r="B7" t="s">
        <v>165</v>
      </c>
      <c r="C7" t="s">
        <v>172</v>
      </c>
      <c r="D7">
        <v>0</v>
      </c>
      <c r="E7">
        <v>100</v>
      </c>
      <c r="F7" t="s">
        <v>82</v>
      </c>
      <c r="G7" t="s">
        <v>116</v>
      </c>
      <c r="H7" t="b">
        <v>1</v>
      </c>
      <c r="I7" t="s">
        <v>163</v>
      </c>
      <c r="J7">
        <v>0.15</v>
      </c>
      <c r="K7">
        <v>19448746.703804322</v>
      </c>
      <c r="L7">
        <v>19448746.703804322</v>
      </c>
      <c r="M7">
        <v>29973226.723900959</v>
      </c>
      <c r="N7">
        <v>1</v>
      </c>
    </row>
    <row r="8" spans="1:14" x14ac:dyDescent="0.35">
      <c r="A8" t="s">
        <v>97</v>
      </c>
      <c r="B8" t="s">
        <v>76</v>
      </c>
      <c r="C8" t="s">
        <v>87</v>
      </c>
      <c r="D8">
        <v>5</v>
      </c>
      <c r="E8">
        <v>15</v>
      </c>
      <c r="F8" t="s">
        <v>82</v>
      </c>
      <c r="G8" t="s">
        <v>88</v>
      </c>
      <c r="H8" t="b">
        <v>0</v>
      </c>
      <c r="I8" t="s">
        <v>93</v>
      </c>
      <c r="J8">
        <v>0.15</v>
      </c>
      <c r="K8">
        <v>17228219.839876909</v>
      </c>
      <c r="L8">
        <v>17228219.839876909</v>
      </c>
      <c r="M8">
        <v>26758724.43214925</v>
      </c>
      <c r="N8">
        <v>3</v>
      </c>
    </row>
    <row r="9" spans="1:14" x14ac:dyDescent="0.35">
      <c r="A9" t="s">
        <v>231</v>
      </c>
      <c r="B9" t="s">
        <v>227</v>
      </c>
      <c r="C9" t="s">
        <v>87</v>
      </c>
      <c r="D9">
        <v>20</v>
      </c>
      <c r="E9">
        <v>100</v>
      </c>
      <c r="F9" t="s">
        <v>82</v>
      </c>
      <c r="G9" t="s">
        <v>232</v>
      </c>
      <c r="H9" t="b">
        <v>1</v>
      </c>
      <c r="J9">
        <v>9.3215416634145889</v>
      </c>
      <c r="K9">
        <v>15388168.172536621</v>
      </c>
      <c r="L9">
        <v>15388168.172536621</v>
      </c>
      <c r="M9">
        <v>15388168.172536621</v>
      </c>
      <c r="N9">
        <v>1</v>
      </c>
    </row>
    <row r="10" spans="1:14" x14ac:dyDescent="0.35">
      <c r="A10" t="s">
        <v>160</v>
      </c>
      <c r="B10" t="s">
        <v>159</v>
      </c>
      <c r="C10" t="s">
        <v>148</v>
      </c>
      <c r="D10">
        <v>30</v>
      </c>
      <c r="E10">
        <v>100</v>
      </c>
      <c r="F10" t="s">
        <v>82</v>
      </c>
      <c r="G10" t="s">
        <v>116</v>
      </c>
      <c r="H10" t="b">
        <v>1</v>
      </c>
      <c r="I10" t="s">
        <v>74</v>
      </c>
      <c r="J10">
        <v>0.15</v>
      </c>
      <c r="K10">
        <v>-14791731.00244361</v>
      </c>
      <c r="L10">
        <v>14791731.00244361</v>
      </c>
      <c r="M10">
        <v>14791731.00244361</v>
      </c>
      <c r="N10">
        <v>1</v>
      </c>
    </row>
    <row r="11" spans="1:14" x14ac:dyDescent="0.35">
      <c r="A11" t="s">
        <v>129</v>
      </c>
      <c r="B11" t="s">
        <v>109</v>
      </c>
      <c r="C11" t="s">
        <v>115</v>
      </c>
      <c r="D11">
        <v>10</v>
      </c>
      <c r="E11">
        <v>20</v>
      </c>
      <c r="F11" t="s">
        <v>82</v>
      </c>
      <c r="G11" t="s">
        <v>116</v>
      </c>
      <c r="H11" t="b">
        <v>0</v>
      </c>
      <c r="I11" t="s">
        <v>93</v>
      </c>
      <c r="J11">
        <v>1.98</v>
      </c>
      <c r="K11">
        <v>11315682.13731781</v>
      </c>
      <c r="L11">
        <v>11315682.13731781</v>
      </c>
      <c r="M11">
        <v>11315682.13731781</v>
      </c>
      <c r="N11">
        <v>1</v>
      </c>
    </row>
    <row r="12" spans="1:14" x14ac:dyDescent="0.35">
      <c r="A12" t="s">
        <v>195</v>
      </c>
      <c r="B12" t="s">
        <v>177</v>
      </c>
      <c r="C12" t="s">
        <v>183</v>
      </c>
      <c r="D12">
        <v>0</v>
      </c>
      <c r="E12">
        <v>6</v>
      </c>
      <c r="F12" t="s">
        <v>82</v>
      </c>
      <c r="G12" t="s">
        <v>88</v>
      </c>
      <c r="H12" t="b">
        <v>0</v>
      </c>
      <c r="I12" t="s">
        <v>93</v>
      </c>
      <c r="J12">
        <v>7.3303225407237163</v>
      </c>
      <c r="K12">
        <v>10457345.99348676</v>
      </c>
      <c r="L12">
        <v>10457345.99348676</v>
      </c>
      <c r="M12">
        <v>10457345.99348676</v>
      </c>
      <c r="N12">
        <v>1</v>
      </c>
    </row>
    <row r="13" spans="1:14" x14ac:dyDescent="0.35">
      <c r="A13" t="s">
        <v>246</v>
      </c>
      <c r="B13" t="s">
        <v>237</v>
      </c>
      <c r="C13" t="s">
        <v>183</v>
      </c>
      <c r="D13">
        <v>10</v>
      </c>
      <c r="E13">
        <v>25</v>
      </c>
      <c r="F13" t="s">
        <v>82</v>
      </c>
      <c r="G13" t="s">
        <v>88</v>
      </c>
      <c r="H13" t="b">
        <v>0</v>
      </c>
      <c r="J13">
        <v>4.5856012488130382</v>
      </c>
      <c r="K13">
        <v>8961092.9231316186</v>
      </c>
      <c r="L13">
        <v>8961092.9231316186</v>
      </c>
      <c r="M13">
        <v>8961092.9231316186</v>
      </c>
      <c r="N13">
        <v>1</v>
      </c>
    </row>
    <row r="14" spans="1:14" x14ac:dyDescent="0.35">
      <c r="A14" t="s">
        <v>213</v>
      </c>
      <c r="B14" t="s">
        <v>201</v>
      </c>
      <c r="C14" t="s">
        <v>207</v>
      </c>
      <c r="D14">
        <v>5</v>
      </c>
      <c r="E14">
        <v>15</v>
      </c>
      <c r="F14" t="s">
        <v>82</v>
      </c>
      <c r="G14" t="s">
        <v>116</v>
      </c>
      <c r="H14" t="b">
        <v>0</v>
      </c>
      <c r="I14" t="s">
        <v>120</v>
      </c>
      <c r="J14">
        <v>0.54</v>
      </c>
      <c r="K14">
        <v>-7848559.7242577868</v>
      </c>
      <c r="L14">
        <v>7848559.7242577868</v>
      </c>
      <c r="M14">
        <v>7848559.7242577868</v>
      </c>
      <c r="N14">
        <v>1</v>
      </c>
    </row>
    <row r="15" spans="1:14" x14ac:dyDescent="0.35">
      <c r="A15" t="s">
        <v>122</v>
      </c>
      <c r="B15" t="s">
        <v>109</v>
      </c>
      <c r="C15" t="s">
        <v>115</v>
      </c>
      <c r="D15">
        <v>20</v>
      </c>
      <c r="E15">
        <v>25</v>
      </c>
      <c r="F15" t="s">
        <v>82</v>
      </c>
      <c r="G15" t="s">
        <v>116</v>
      </c>
      <c r="H15" t="b">
        <v>0</v>
      </c>
      <c r="I15" t="s">
        <v>120</v>
      </c>
      <c r="J15">
        <v>0.76</v>
      </c>
      <c r="K15">
        <v>6756281.9517792659</v>
      </c>
      <c r="L15">
        <v>6756281.9517792659</v>
      </c>
      <c r="M15">
        <v>6756281.9517792659</v>
      </c>
      <c r="N15">
        <v>1</v>
      </c>
    </row>
    <row r="16" spans="1:14" x14ac:dyDescent="0.35">
      <c r="A16" t="s">
        <v>147</v>
      </c>
      <c r="B16" t="s">
        <v>142</v>
      </c>
      <c r="C16" t="s">
        <v>148</v>
      </c>
      <c r="D16">
        <v>30</v>
      </c>
      <c r="E16">
        <v>100</v>
      </c>
      <c r="F16" t="s">
        <v>82</v>
      </c>
      <c r="G16" t="s">
        <v>116</v>
      </c>
      <c r="H16" t="b">
        <v>1</v>
      </c>
      <c r="I16" t="s">
        <v>74</v>
      </c>
      <c r="J16">
        <v>0.15</v>
      </c>
      <c r="K16">
        <v>1481099.624861615</v>
      </c>
      <c r="L16">
        <v>1481099.624861615</v>
      </c>
      <c r="M16">
        <v>1481099.624861615</v>
      </c>
      <c r="N16">
        <v>1</v>
      </c>
    </row>
    <row r="17" spans="1:14" x14ac:dyDescent="0.35">
      <c r="A17" t="s">
        <v>114</v>
      </c>
      <c r="B17" t="s">
        <v>109</v>
      </c>
      <c r="C17" t="s">
        <v>115</v>
      </c>
      <c r="D17">
        <v>25</v>
      </c>
      <c r="E17">
        <v>100</v>
      </c>
      <c r="F17" t="s">
        <v>82</v>
      </c>
      <c r="G17" t="s">
        <v>116</v>
      </c>
      <c r="H17" t="b">
        <v>1</v>
      </c>
      <c r="I17" t="s">
        <v>107</v>
      </c>
      <c r="J17">
        <v>0.25</v>
      </c>
      <c r="K17">
        <v>900898.05081855413</v>
      </c>
      <c r="L17">
        <v>900898.05081855413</v>
      </c>
      <c r="M17">
        <v>900898.05081855413</v>
      </c>
      <c r="N17">
        <v>1</v>
      </c>
    </row>
    <row r="18" spans="1:14" x14ac:dyDescent="0.35">
      <c r="A18" t="s">
        <v>135</v>
      </c>
      <c r="B18" t="s">
        <v>133</v>
      </c>
      <c r="C18" t="s">
        <v>115</v>
      </c>
      <c r="D18">
        <v>25</v>
      </c>
      <c r="E18">
        <v>100</v>
      </c>
      <c r="F18" t="s">
        <v>82</v>
      </c>
      <c r="G18" t="s">
        <v>136</v>
      </c>
      <c r="H18" t="b">
        <v>1</v>
      </c>
      <c r="I18" t="s">
        <v>107</v>
      </c>
      <c r="J18">
        <v>12.5</v>
      </c>
      <c r="K18">
        <v>-896980.43539079966</v>
      </c>
      <c r="L18">
        <v>896980.43539079966</v>
      </c>
      <c r="M18">
        <v>896980.43539079966</v>
      </c>
      <c r="N18">
        <v>1</v>
      </c>
    </row>
    <row r="19" spans="1:14" x14ac:dyDescent="0.35">
      <c r="A19" t="s">
        <v>86</v>
      </c>
      <c r="B19" t="s">
        <v>76</v>
      </c>
      <c r="C19" t="s">
        <v>87</v>
      </c>
      <c r="D19">
        <v>15</v>
      </c>
      <c r="E19">
        <v>100</v>
      </c>
      <c r="F19" t="s">
        <v>82</v>
      </c>
      <c r="G19" t="s">
        <v>88</v>
      </c>
      <c r="H19" t="b">
        <v>1</v>
      </c>
      <c r="I19" t="s">
        <v>74</v>
      </c>
      <c r="J19">
        <v>0.15</v>
      </c>
      <c r="K19">
        <v>0</v>
      </c>
      <c r="L19">
        <v>0</v>
      </c>
      <c r="M19">
        <v>7716009.1932263216</v>
      </c>
      <c r="N19">
        <v>2</v>
      </c>
    </row>
    <row r="20" spans="1:14" x14ac:dyDescent="0.35">
      <c r="A20" t="s">
        <v>182</v>
      </c>
      <c r="B20" t="s">
        <v>177</v>
      </c>
      <c r="C20" t="s">
        <v>183</v>
      </c>
      <c r="D20">
        <v>12</v>
      </c>
      <c r="E20">
        <v>100</v>
      </c>
      <c r="F20" t="s">
        <v>82</v>
      </c>
      <c r="G20" t="s">
        <v>88</v>
      </c>
      <c r="H20" t="b">
        <v>1</v>
      </c>
      <c r="I20" t="s">
        <v>74</v>
      </c>
      <c r="J20">
        <v>0.15</v>
      </c>
      <c r="K20">
        <v>0</v>
      </c>
      <c r="L20">
        <v>0</v>
      </c>
      <c r="M20">
        <v>29910713.637695119</v>
      </c>
      <c r="N20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30"/>
  <sheetViews>
    <sheetView workbookViewId="0"/>
  </sheetViews>
  <sheetFormatPr defaultRowHeight="14.5" x14ac:dyDescent="0.35"/>
  <sheetData>
    <row r="1" spans="1:19" x14ac:dyDescent="0.35">
      <c r="A1" s="1" t="s">
        <v>252</v>
      </c>
      <c r="B1" s="1" t="s">
        <v>19</v>
      </c>
      <c r="C1" s="1" t="s">
        <v>57</v>
      </c>
      <c r="D1" s="1" t="s">
        <v>63</v>
      </c>
      <c r="E1" s="1" t="s">
        <v>37</v>
      </c>
      <c r="F1" s="1" t="s">
        <v>59</v>
      </c>
      <c r="G1" s="1" t="s">
        <v>70</v>
      </c>
      <c r="H1" s="1" t="s">
        <v>248</v>
      </c>
      <c r="I1" s="1" t="s">
        <v>251</v>
      </c>
      <c r="J1" s="1" t="s">
        <v>30</v>
      </c>
      <c r="K1" s="1" t="s">
        <v>58</v>
      </c>
      <c r="L1" s="1" t="s">
        <v>28</v>
      </c>
      <c r="M1" s="1" t="s">
        <v>29</v>
      </c>
      <c r="N1" s="1" t="s">
        <v>36</v>
      </c>
      <c r="O1" s="1" t="s">
        <v>40</v>
      </c>
      <c r="P1" s="1" t="s">
        <v>23</v>
      </c>
      <c r="Q1" s="1" t="s">
        <v>65</v>
      </c>
      <c r="R1" s="1" t="s">
        <v>249</v>
      </c>
      <c r="S1" s="1" t="s">
        <v>250</v>
      </c>
    </row>
    <row r="2" spans="1:19" x14ac:dyDescent="0.35">
      <c r="A2" t="s">
        <v>253</v>
      </c>
    </row>
    <row r="3" spans="1:19" x14ac:dyDescent="0.35">
      <c r="B3">
        <v>73</v>
      </c>
      <c r="C3" t="s">
        <v>221</v>
      </c>
      <c r="D3" t="s">
        <v>222</v>
      </c>
      <c r="E3">
        <v>50000000</v>
      </c>
      <c r="F3">
        <v>45059822.898555256</v>
      </c>
      <c r="G3">
        <v>45059822.898555256</v>
      </c>
      <c r="H3">
        <v>45059822.898555256</v>
      </c>
      <c r="I3">
        <v>1</v>
      </c>
    </row>
    <row r="4" spans="1:19" x14ac:dyDescent="0.35">
      <c r="B4">
        <v>46</v>
      </c>
      <c r="C4" t="s">
        <v>171</v>
      </c>
      <c r="D4" t="s">
        <v>116</v>
      </c>
      <c r="E4">
        <v>30000000</v>
      </c>
      <c r="F4">
        <v>29973226.723900959</v>
      </c>
      <c r="G4">
        <v>19448746.703804322</v>
      </c>
      <c r="H4">
        <v>19448746.703804322</v>
      </c>
      <c r="I4">
        <v>1</v>
      </c>
    </row>
    <row r="5" spans="1:19" x14ac:dyDescent="0.35">
      <c r="B5">
        <v>50</v>
      </c>
      <c r="C5" t="s">
        <v>206</v>
      </c>
      <c r="D5" t="s">
        <v>116</v>
      </c>
      <c r="E5">
        <v>80000000</v>
      </c>
      <c r="F5">
        <v>53120622.142382063</v>
      </c>
      <c r="G5">
        <v>53120622.142382063</v>
      </c>
      <c r="H5">
        <v>53120622.142382063</v>
      </c>
      <c r="I5">
        <v>1</v>
      </c>
    </row>
    <row r="6" spans="1:19" x14ac:dyDescent="0.35">
      <c r="B6">
        <v>51</v>
      </c>
      <c r="C6" t="s">
        <v>213</v>
      </c>
      <c r="D6" t="s">
        <v>116</v>
      </c>
      <c r="E6">
        <v>-12000000</v>
      </c>
      <c r="F6">
        <v>-7848559.7242577868</v>
      </c>
      <c r="G6">
        <v>-7848559.7242577868</v>
      </c>
      <c r="H6">
        <v>-7848559.7242577868</v>
      </c>
      <c r="I6">
        <v>1</v>
      </c>
    </row>
    <row r="7" spans="1:19" x14ac:dyDescent="0.35">
      <c r="B7">
        <v>49</v>
      </c>
      <c r="C7" t="s">
        <v>195</v>
      </c>
      <c r="D7" t="s">
        <v>88</v>
      </c>
      <c r="E7">
        <v>11000000</v>
      </c>
      <c r="F7">
        <v>10457345.99348676</v>
      </c>
      <c r="G7">
        <v>10457345.99348676</v>
      </c>
      <c r="H7">
        <v>10457345.99348676</v>
      </c>
      <c r="I7">
        <v>1</v>
      </c>
    </row>
    <row r="8" spans="1:19" x14ac:dyDescent="0.35">
      <c r="B8">
        <v>47</v>
      </c>
      <c r="C8" t="s">
        <v>182</v>
      </c>
      <c r="D8" t="s">
        <v>88</v>
      </c>
      <c r="E8">
        <v>15000000</v>
      </c>
      <c r="F8">
        <v>14955356.818847559</v>
      </c>
      <c r="G8">
        <v>14955356.818847559</v>
      </c>
      <c r="H8">
        <v>0</v>
      </c>
      <c r="I8">
        <v>2</v>
      </c>
    </row>
    <row r="9" spans="1:19" x14ac:dyDescent="0.35">
      <c r="B9">
        <v>72</v>
      </c>
      <c r="C9" t="s">
        <v>182</v>
      </c>
      <c r="D9" t="s">
        <v>88</v>
      </c>
      <c r="E9">
        <v>-15000000</v>
      </c>
      <c r="F9">
        <v>-14955356.818847559</v>
      </c>
      <c r="G9">
        <v>-14955356.818847559</v>
      </c>
      <c r="H9">
        <v>0</v>
      </c>
      <c r="I9">
        <v>2</v>
      </c>
    </row>
    <row r="10" spans="1:19" x14ac:dyDescent="0.35">
      <c r="B10">
        <v>48</v>
      </c>
      <c r="C10" t="s">
        <v>189</v>
      </c>
      <c r="D10" t="s">
        <v>88</v>
      </c>
      <c r="E10">
        <v>20000000</v>
      </c>
      <c r="F10">
        <v>19739965.53118619</v>
      </c>
      <c r="G10">
        <v>19739965.53118619</v>
      </c>
      <c r="H10">
        <v>19739965.53118619</v>
      </c>
      <c r="I10">
        <v>1</v>
      </c>
    </row>
    <row r="11" spans="1:19" x14ac:dyDescent="0.35">
      <c r="B11">
        <v>76</v>
      </c>
      <c r="C11" t="s">
        <v>246</v>
      </c>
      <c r="D11" t="s">
        <v>88</v>
      </c>
      <c r="E11">
        <v>10000000</v>
      </c>
      <c r="F11">
        <v>8961092.9231316186</v>
      </c>
      <c r="G11">
        <v>8961092.9231316186</v>
      </c>
      <c r="H11">
        <v>8961092.9231316186</v>
      </c>
      <c r="I11">
        <v>1</v>
      </c>
    </row>
    <row r="12" spans="1:19" x14ac:dyDescent="0.35">
      <c r="B12">
        <v>75</v>
      </c>
      <c r="C12" t="s">
        <v>241</v>
      </c>
      <c r="D12" t="s">
        <v>88</v>
      </c>
      <c r="E12">
        <v>30000000</v>
      </c>
      <c r="F12">
        <v>26846718.81679843</v>
      </c>
      <c r="G12">
        <v>26846718.81679843</v>
      </c>
      <c r="H12">
        <v>26846718.81679843</v>
      </c>
      <c r="I12">
        <v>1</v>
      </c>
    </row>
    <row r="13" spans="1:19" x14ac:dyDescent="0.35">
      <c r="B13">
        <v>44</v>
      </c>
      <c r="C13" t="s">
        <v>154</v>
      </c>
      <c r="D13" t="s">
        <v>116</v>
      </c>
      <c r="E13">
        <v>4500000</v>
      </c>
      <c r="F13">
        <v>4235742.9283229131</v>
      </c>
      <c r="G13">
        <v>4235742.9283229131</v>
      </c>
      <c r="H13">
        <v>23061267.054202531</v>
      </c>
      <c r="I13">
        <v>2</v>
      </c>
    </row>
    <row r="14" spans="1:19" x14ac:dyDescent="0.35">
      <c r="B14">
        <v>45</v>
      </c>
      <c r="C14" t="s">
        <v>154</v>
      </c>
      <c r="D14" t="s">
        <v>116</v>
      </c>
      <c r="E14">
        <v>20000000</v>
      </c>
      <c r="F14">
        <v>18825524.125879612</v>
      </c>
      <c r="G14">
        <v>18825524.125879612</v>
      </c>
      <c r="H14">
        <v>23061267.054202531</v>
      </c>
      <c r="I14">
        <v>2</v>
      </c>
    </row>
    <row r="15" spans="1:19" x14ac:dyDescent="0.35">
      <c r="B15">
        <v>43</v>
      </c>
      <c r="C15" t="s">
        <v>147</v>
      </c>
      <c r="D15" t="s">
        <v>116</v>
      </c>
      <c r="E15">
        <v>2000000</v>
      </c>
      <c r="F15">
        <v>1481099.624861615</v>
      </c>
      <c r="G15">
        <v>1481099.624861615</v>
      </c>
      <c r="H15">
        <v>1481099.624861615</v>
      </c>
      <c r="I15">
        <v>1</v>
      </c>
    </row>
    <row r="16" spans="1:19" x14ac:dyDescent="0.35">
      <c r="B16">
        <v>70</v>
      </c>
      <c r="C16" t="s">
        <v>160</v>
      </c>
      <c r="D16" t="s">
        <v>116</v>
      </c>
      <c r="E16">
        <v>-20000000</v>
      </c>
      <c r="F16">
        <v>-14791731.00244361</v>
      </c>
      <c r="G16">
        <v>-14791731.00244361</v>
      </c>
      <c r="H16">
        <v>-14791731.00244361</v>
      </c>
      <c r="I16">
        <v>1</v>
      </c>
    </row>
    <row r="17" spans="1:19" x14ac:dyDescent="0.35">
      <c r="B17">
        <v>42</v>
      </c>
      <c r="C17" t="s">
        <v>129</v>
      </c>
      <c r="D17" t="s">
        <v>116</v>
      </c>
      <c r="E17">
        <v>15000000</v>
      </c>
      <c r="F17">
        <v>11315682.13731781</v>
      </c>
      <c r="G17">
        <v>11315682.13731781</v>
      </c>
      <c r="H17">
        <v>11315682.13731781</v>
      </c>
      <c r="I17">
        <v>1</v>
      </c>
    </row>
    <row r="18" spans="1:19" x14ac:dyDescent="0.35">
      <c r="B18">
        <v>41</v>
      </c>
      <c r="C18" t="s">
        <v>122</v>
      </c>
      <c r="D18" t="s">
        <v>116</v>
      </c>
      <c r="E18">
        <v>8000000</v>
      </c>
      <c r="F18">
        <v>6756281.9517792659</v>
      </c>
      <c r="G18">
        <v>6756281.9517792659</v>
      </c>
      <c r="H18">
        <v>6756281.9517792659</v>
      </c>
      <c r="I18">
        <v>1</v>
      </c>
    </row>
    <row r="19" spans="1:19" x14ac:dyDescent="0.35">
      <c r="B19">
        <v>40</v>
      </c>
      <c r="C19" t="s">
        <v>114</v>
      </c>
      <c r="D19" t="s">
        <v>116</v>
      </c>
      <c r="E19">
        <v>1000000</v>
      </c>
      <c r="F19">
        <v>900898.05081855413</v>
      </c>
      <c r="G19">
        <v>900898.05081855413</v>
      </c>
      <c r="H19">
        <v>900898.05081855413</v>
      </c>
      <c r="I19">
        <v>1</v>
      </c>
    </row>
    <row r="20" spans="1:19" x14ac:dyDescent="0.35">
      <c r="B20">
        <v>71</v>
      </c>
      <c r="C20" t="s">
        <v>135</v>
      </c>
      <c r="D20" t="s">
        <v>136</v>
      </c>
      <c r="E20">
        <v>-1000000</v>
      </c>
      <c r="F20">
        <v>-896980.43539079966</v>
      </c>
      <c r="G20">
        <v>-896980.43539079966</v>
      </c>
      <c r="H20">
        <v>-896980.43539079966</v>
      </c>
      <c r="I20">
        <v>1</v>
      </c>
    </row>
    <row r="21" spans="1:19" x14ac:dyDescent="0.35">
      <c r="B21">
        <v>74</v>
      </c>
      <c r="C21" t="s">
        <v>231</v>
      </c>
      <c r="D21" t="s">
        <v>232</v>
      </c>
      <c r="E21">
        <v>20000000</v>
      </c>
      <c r="F21">
        <v>15388168.172536621</v>
      </c>
      <c r="G21">
        <v>15388168.172536621</v>
      </c>
      <c r="H21">
        <v>15388168.172536621</v>
      </c>
      <c r="I21">
        <v>1</v>
      </c>
    </row>
    <row r="22" spans="1:19" x14ac:dyDescent="0.35">
      <c r="B22">
        <v>37</v>
      </c>
      <c r="C22" t="s">
        <v>86</v>
      </c>
      <c r="D22" t="s">
        <v>88</v>
      </c>
      <c r="E22">
        <v>5000000</v>
      </c>
      <c r="F22">
        <v>3858004.5966131608</v>
      </c>
      <c r="G22">
        <v>3858004.5966131608</v>
      </c>
      <c r="H22">
        <v>0</v>
      </c>
      <c r="I22">
        <v>2</v>
      </c>
    </row>
    <row r="23" spans="1:19" x14ac:dyDescent="0.35">
      <c r="B23">
        <v>68</v>
      </c>
      <c r="C23" t="s">
        <v>86</v>
      </c>
      <c r="D23" t="s">
        <v>88</v>
      </c>
      <c r="E23">
        <v>-5000000</v>
      </c>
      <c r="F23">
        <v>-3858004.5966131608</v>
      </c>
      <c r="G23">
        <v>-3858004.5966131608</v>
      </c>
      <c r="H23">
        <v>0</v>
      </c>
      <c r="I23">
        <v>2</v>
      </c>
    </row>
    <row r="24" spans="1:19" x14ac:dyDescent="0.35">
      <c r="B24">
        <v>38</v>
      </c>
      <c r="C24" t="s">
        <v>97</v>
      </c>
      <c r="D24" t="s">
        <v>88</v>
      </c>
      <c r="E24">
        <v>30000000</v>
      </c>
      <c r="F24">
        <v>21993472.136013079</v>
      </c>
      <c r="G24">
        <v>21993472.136013079</v>
      </c>
      <c r="H24">
        <v>17228219.839876909</v>
      </c>
      <c r="I24">
        <v>3</v>
      </c>
    </row>
    <row r="25" spans="1:19" x14ac:dyDescent="0.35">
      <c r="B25">
        <v>39</v>
      </c>
      <c r="C25" t="s">
        <v>97</v>
      </c>
      <c r="D25" t="s">
        <v>88</v>
      </c>
      <c r="E25">
        <v>-5000000</v>
      </c>
      <c r="F25">
        <v>-3665578.6893355129</v>
      </c>
      <c r="G25">
        <v>-3665578.6893355129</v>
      </c>
      <c r="H25">
        <v>17228219.839876909</v>
      </c>
      <c r="I25">
        <v>3</v>
      </c>
    </row>
    <row r="26" spans="1:19" x14ac:dyDescent="0.35">
      <c r="B26">
        <v>69</v>
      </c>
      <c r="C26" t="s">
        <v>97</v>
      </c>
      <c r="D26" t="s">
        <v>88</v>
      </c>
      <c r="E26">
        <v>-1500000</v>
      </c>
      <c r="F26">
        <v>-1099673.606800654</v>
      </c>
      <c r="G26">
        <v>-1099673.606800654</v>
      </c>
      <c r="H26">
        <v>17228219.839876909</v>
      </c>
      <c r="I26">
        <v>3</v>
      </c>
    </row>
    <row r="28" spans="1:19" x14ac:dyDescent="0.35">
      <c r="A28" t="s">
        <v>254</v>
      </c>
    </row>
    <row r="29" spans="1:19" x14ac:dyDescent="0.35">
      <c r="C29" t="s">
        <v>86</v>
      </c>
      <c r="D29" t="s">
        <v>88</v>
      </c>
      <c r="H29">
        <v>0</v>
      </c>
      <c r="I29">
        <v>2</v>
      </c>
      <c r="J29" t="s">
        <v>76</v>
      </c>
      <c r="K29" t="s">
        <v>87</v>
      </c>
      <c r="L29">
        <v>15</v>
      </c>
      <c r="M29">
        <v>100</v>
      </c>
      <c r="N29" t="s">
        <v>82</v>
      </c>
      <c r="O29" t="b">
        <v>1</v>
      </c>
      <c r="P29" t="s">
        <v>74</v>
      </c>
      <c r="Q29">
        <v>0.15</v>
      </c>
      <c r="R29">
        <v>0</v>
      </c>
      <c r="S29">
        <v>7716009.1932263216</v>
      </c>
    </row>
    <row r="30" spans="1:19" x14ac:dyDescent="0.35">
      <c r="C30" t="s">
        <v>182</v>
      </c>
      <c r="D30" t="s">
        <v>88</v>
      </c>
      <c r="H30">
        <v>0</v>
      </c>
      <c r="I30">
        <v>2</v>
      </c>
      <c r="J30" t="s">
        <v>177</v>
      </c>
      <c r="K30" t="s">
        <v>183</v>
      </c>
      <c r="L30">
        <v>12</v>
      </c>
      <c r="M30">
        <v>100</v>
      </c>
      <c r="N30" t="s">
        <v>82</v>
      </c>
      <c r="O30" t="b">
        <v>1</v>
      </c>
      <c r="P30" t="s">
        <v>74</v>
      </c>
      <c r="Q30">
        <v>0.15</v>
      </c>
      <c r="R30">
        <v>0</v>
      </c>
      <c r="S30">
        <v>29910713.637695119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8"/>
  <sheetViews>
    <sheetView workbookViewId="0"/>
  </sheetViews>
  <sheetFormatPr defaultRowHeight="14.5" x14ac:dyDescent="0.35"/>
  <sheetData>
    <row r="1" spans="1:2" x14ac:dyDescent="0.35">
      <c r="A1" s="1" t="s">
        <v>255</v>
      </c>
      <c r="B1" s="1" t="s">
        <v>1</v>
      </c>
    </row>
    <row r="2" spans="1:2" x14ac:dyDescent="0.35">
      <c r="A2" t="s">
        <v>256</v>
      </c>
      <c r="B2">
        <v>24</v>
      </c>
    </row>
    <row r="3" spans="1:2" x14ac:dyDescent="0.35">
      <c r="A3" t="s">
        <v>257</v>
      </c>
      <c r="B3">
        <v>19</v>
      </c>
    </row>
    <row r="4" spans="1:2" x14ac:dyDescent="0.35">
      <c r="A4" t="s">
        <v>258</v>
      </c>
      <c r="B4">
        <v>5</v>
      </c>
    </row>
    <row r="5" spans="1:2" x14ac:dyDescent="0.35">
      <c r="A5" t="s">
        <v>259</v>
      </c>
      <c r="B5">
        <v>0</v>
      </c>
    </row>
    <row r="6" spans="1:2" x14ac:dyDescent="0.35">
      <c r="A6" t="s">
        <v>260</v>
      </c>
      <c r="B6">
        <v>236228660.67864579</v>
      </c>
    </row>
    <row r="7" spans="1:2" x14ac:dyDescent="0.35">
      <c r="A7" t="s">
        <v>261</v>
      </c>
      <c r="B7">
        <v>283303203.00283009</v>
      </c>
    </row>
    <row r="8" spans="1:2" x14ac:dyDescent="0.35">
      <c r="A8" t="s">
        <v>262</v>
      </c>
      <c r="B8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00_manifest</vt:lpstr>
      <vt:lpstr>10_input</vt:lpstr>
      <vt:lpstr>20_output</vt:lpstr>
      <vt:lpstr>30_audit</vt:lpstr>
      <vt:lpstr>40_reconciliation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Office</cp:lastModifiedBy>
  <dcterms:created xsi:type="dcterms:W3CDTF">2026-06-05T16:33:19Z</dcterms:created>
  <dcterms:modified xsi:type="dcterms:W3CDTF">2026-06-05T18:51:50Z</dcterms:modified>
</cp:coreProperties>
</file>