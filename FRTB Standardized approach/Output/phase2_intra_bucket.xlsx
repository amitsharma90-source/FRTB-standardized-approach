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its\Desktop\All quant workshop\Market Risk\FRTB\FRTB-Apr 2026-Delta,Vega, Curvature, all risk classes\FRTB SA\output\"/>
    </mc:Choice>
  </mc:AlternateContent>
  <xr:revisionPtr revIDLastSave="0" documentId="13_ncr:1_{C243D9C9-E6CC-47DC-96EF-91E8658CC46C}" xr6:coauthVersionLast="47" xr6:coauthVersionMax="47" xr10:uidLastSave="{00000000-0000-0000-0000-000000000000}"/>
  <bookViews>
    <workbookView xWindow="-110" yWindow="-110" windowWidth="19420" windowHeight="10300" firstSheet="3" activeTab="6" xr2:uid="{00000000-000D-0000-FFFF-FFFF00000000}"/>
  </bookViews>
  <sheets>
    <sheet name="README" sheetId="1" r:id="rId1"/>
    <sheet name="factors_distinct" sheetId="2" r:id="rId2"/>
    <sheet name="factors_per_position" sheetId="3" r:id="rId3"/>
    <sheet name="low_summary" sheetId="4" r:id="rId4"/>
    <sheet name="low_rho_matrices" sheetId="5" r:id="rId5"/>
    <sheet name="medium_summary" sheetId="6" r:id="rId6"/>
    <sheet name="medium_rho_matrices" sheetId="7" r:id="rId7"/>
    <sheet name="high_summary" sheetId="8" r:id="rId8"/>
    <sheet name="high_rho_matrices" sheetId="9" r:id="rId9"/>
  </sheets>
  <definedNames>
    <definedName name="_xlnm._FilterDatabase" localSheetId="2" hidden="1">factors_per_position!$A$1:$O$480</definedName>
    <definedName name="_xlnm._FilterDatabase" localSheetId="5" hidden="1">medium_summary!$A$1:$I$32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6" l="1"/>
  <c r="G38" i="6"/>
  <c r="G37" i="6"/>
  <c r="G40" i="6" l="1"/>
  <c r="G41" i="6" s="1"/>
</calcChain>
</file>

<file path=xl/sharedStrings.xml><?xml version="1.0" encoding="utf-8"?>
<sst xmlns="http://schemas.openxmlformats.org/spreadsheetml/2006/main" count="5537" uniqueCount="393">
  <si>
    <t>Sheet</t>
  </si>
  <si>
    <t>Purpose</t>
  </si>
  <si>
    <t>README</t>
  </si>
  <si>
    <t>Column / sheet glossary.</t>
  </si>
  <si>
    <t>factors_distinct</t>
  </si>
  <si>
    <t>One row per MAR21 distinct risk factor in each bucket. SCENARIO-INDEPENDENT (WS = RW * value; no rho involvement).</t>
  </si>
  <si>
    <t>factors_per_position</t>
  </si>
  <si>
    <t>Every original tidy row with full RW decomposition. Sum of ws within a factor_label = summed_ws in the distinct sheet.</t>
  </si>
  <si>
    <t>{scen}_summary</t>
  </si>
  <si>
    <t>Per (kind, risk_class, bucket_id): Sb, Kb, n_distinct_factors, mode.</t>
  </si>
  <si>
    <t>{scen}_rho_matrices</t>
  </si>
  <si>
    <t>Stacked correlation matrices over distinct risk factors. Single-factor and 'simple_sum' buckets are omitted.</t>
  </si>
  <si>
    <t>kind</t>
  </si>
  <si>
    <t>risk_class</t>
  </si>
  <si>
    <t>bucket_id</t>
  </si>
  <si>
    <t>factor_label</t>
  </si>
  <si>
    <t>column</t>
  </si>
  <si>
    <t>security</t>
  </si>
  <si>
    <t>tenor</t>
  </si>
  <si>
    <t>under_tenor</t>
  </si>
  <si>
    <t>summed_value</t>
  </si>
  <si>
    <t>summed_ws</t>
  </si>
  <si>
    <t>n_position_rows</t>
  </si>
  <si>
    <t>delta</t>
  </si>
  <si>
    <t>COMMODITY</t>
  </si>
  <si>
    <t>COMM_2_Brent_Crude_Oil</t>
  </si>
  <si>
    <t>TRS on BCOM Commodity Index-Barclays-Leg1</t>
  </si>
  <si>
    <t>COMM_2_Low_Sulphur_Gas_Oil</t>
  </si>
  <si>
    <t>COMM_2_RBOB_Gasoline</t>
  </si>
  <si>
    <t>COMM_2_ULS_Diesel</t>
  </si>
  <si>
    <t>COMM_2_WTI_Crude_Oil</t>
  </si>
  <si>
    <t>COMM_5_Aluminum</t>
  </si>
  <si>
    <t>COMM_5_Copper</t>
  </si>
  <si>
    <t>COMM_5_Lead</t>
  </si>
  <si>
    <t>COMM_5_Nickel</t>
  </si>
  <si>
    <t>COMM_5_Zinc</t>
  </si>
  <si>
    <t>COMM_6_Natural_Gas</t>
  </si>
  <si>
    <t>COMM_7_Gold</t>
  </si>
  <si>
    <t>COMM_7_Silver</t>
  </si>
  <si>
    <t>COMM_8_Corn</t>
  </si>
  <si>
    <t>COMM_8_HRW_Wheat</t>
  </si>
  <si>
    <t>COMM_8_Soybean_Meal</t>
  </si>
  <si>
    <t>COMM_8_Soybean_Oil</t>
  </si>
  <si>
    <t>COMM_8_Soybeans</t>
  </si>
  <si>
    <t>COMM_8_Wheat</t>
  </si>
  <si>
    <t>COMM_9_Lean_Hogs</t>
  </si>
  <si>
    <t>COMM_9_Live_Cattle</t>
  </si>
  <si>
    <t>COMM_10_Cocoa</t>
  </si>
  <si>
    <t>COMM_10_Coffee</t>
  </si>
  <si>
    <t>COMM_10_Cotton</t>
  </si>
  <si>
    <t>COMM_10_Sugar</t>
  </si>
  <si>
    <t>CSR_NONSEC</t>
  </si>
  <si>
    <t>CSR_NONSEC_3_0.5Y  [JPMorgan 2026 Bond]</t>
  </si>
  <si>
    <t>CSR_NONSEC_3_0.5Y</t>
  </si>
  <si>
    <t>JPMorgan 2026 Bond</t>
  </si>
  <si>
    <t>CSR_NONSEC_3_0.5Y  [Goldman Sachs 2026 Bond]</t>
  </si>
  <si>
    <t>Goldman Sachs 2026 Bond</t>
  </si>
  <si>
    <t>CSR_NONSEC_3_0.5Y  [Visa 2028 Bond]</t>
  </si>
  <si>
    <t>Visa 2028 Bond</t>
  </si>
  <si>
    <t>CSR_NONSEC_3_1.0Y  [Goldman Sachs 2026 Bond]</t>
  </si>
  <si>
    <t>CSR_NONSEC_3_1.0Y</t>
  </si>
  <si>
    <t>CSR_NONSEC_3_1.0Y  [Visa 2028 Bond]</t>
  </si>
  <si>
    <t>CSR_NONSEC_3_3.0Y  [Visa 2028 Bond]</t>
  </si>
  <si>
    <t>CSR_NONSEC_3_3.0Y</t>
  </si>
  <si>
    <t>CSR_NONSEC_4_0.5Y  [Chevron 2029 Callable Bond]</t>
  </si>
  <si>
    <t>CSR_NONSEC_4_0.5Y</t>
  </si>
  <si>
    <t>Chevron 2029 Callable Bond</t>
  </si>
  <si>
    <t>CSR_NONSEC_4_0.5Y  [Caterpillar 2028 Bond]</t>
  </si>
  <si>
    <t>Caterpillar 2028 Bond</t>
  </si>
  <si>
    <t>CSR_NONSEC_4_0.5Y  [Boeing 2030 Callable Bond]</t>
  </si>
  <si>
    <t>Boeing 2030 Callable Bond</t>
  </si>
  <si>
    <t>CSR_NONSEC_4_0.5Y  [ExxonMobil 2027 Bond]</t>
  </si>
  <si>
    <t>ExxonMobil 2027 Bond</t>
  </si>
  <si>
    <t>CSR_NONSEC_4_0.5Y  [3M 2030 Bond]</t>
  </si>
  <si>
    <t>3M 2030 Bond</t>
  </si>
  <si>
    <t>CSR_NONSEC_4_1.0Y  [Chevron 2029 Callable Bond]</t>
  </si>
  <si>
    <t>CSR_NONSEC_4_1.0Y</t>
  </si>
  <si>
    <t>CSR_NONSEC_4_1.0Y  [Caterpillar 2028 Bond]</t>
  </si>
  <si>
    <t>CSR_NONSEC_4_1.0Y  [Boeing 2030 Callable Bond]</t>
  </si>
  <si>
    <t>CSR_NONSEC_4_1.0Y  [ExxonMobil 2027 Bond]</t>
  </si>
  <si>
    <t>CSR_NONSEC_4_1.0Y  [3M 2030 Bond]</t>
  </si>
  <si>
    <t>CSR_NONSEC_4_3.0Y  [Chevron 2029 Callable Bond]</t>
  </si>
  <si>
    <t>CSR_NONSEC_4_3.0Y</t>
  </si>
  <si>
    <t>CSR_NONSEC_4_3.0Y  [Caterpillar 2028 Bond]</t>
  </si>
  <si>
    <t>CSR_NONSEC_4_3.0Y  [Boeing 2030 Callable Bond]</t>
  </si>
  <si>
    <t>CSR_NONSEC_4_3.0Y  [ExxonMobil 2027 Bond]</t>
  </si>
  <si>
    <t>CSR_NONSEC_4_3.0Y  [3M 2030 Bond]</t>
  </si>
  <si>
    <t>CSR_NONSEC_4_5.0Y  [Chevron 2029 Callable Bond]</t>
  </si>
  <si>
    <t>CSR_NONSEC_4_5.0Y</t>
  </si>
  <si>
    <t>CSR_NONSEC_4_5.0Y  [Boeing 2030 Callable Bond]</t>
  </si>
  <si>
    <t>CSR_NONSEC_4_5.0Y  [3M 2030 Bond]</t>
  </si>
  <si>
    <t>CSR_NONSEC_5_0.5Y  [Walmart 2027 Bond]</t>
  </si>
  <si>
    <t>CSR_NONSEC_5_0.5Y</t>
  </si>
  <si>
    <t>Walmart 2027 Bond</t>
  </si>
  <si>
    <t>CSR_NONSEC_5_0.5Y  [Procter &amp; Gamble 2034 Bond]</t>
  </si>
  <si>
    <t>Procter &amp; Gamble 2034 Bond</t>
  </si>
  <si>
    <t>CSR_NONSEC_5_0.5Y  [Union Pacific 2030 Bond]</t>
  </si>
  <si>
    <t>Union Pacific 2030 Bond</t>
  </si>
  <si>
    <t>CSR_NONSEC_5_1.0Y  [Walmart 2027 Bond]</t>
  </si>
  <si>
    <t>CSR_NONSEC_5_1.0Y</t>
  </si>
  <si>
    <t>CSR_NONSEC_5_1.0Y  [Procter &amp; Gamble 2034 Bond]</t>
  </si>
  <si>
    <t>CSR_NONSEC_5_1.0Y  [Union Pacific 2030 Bond]</t>
  </si>
  <si>
    <t>CSR_NONSEC_5_3.0Y  [Walmart 2027 Bond]</t>
  </si>
  <si>
    <t>CSR_NONSEC_5_3.0Y</t>
  </si>
  <si>
    <t>CSR_NONSEC_5_3.0Y  [Procter &amp; Gamble 2034 Bond]</t>
  </si>
  <si>
    <t>CSR_NONSEC_5_3.0Y  [Union Pacific 2030 Bond]</t>
  </si>
  <si>
    <t>CSR_NONSEC_5_5.0Y  [Procter &amp; Gamble 2034 Bond]</t>
  </si>
  <si>
    <t>CSR_NONSEC_5_5.0Y</t>
  </si>
  <si>
    <t>CSR_NONSEC_5_5.0Y  [Union Pacific 2030 Bond]</t>
  </si>
  <si>
    <t>CSR_NONSEC_5_10.0Y  [Procter &amp; Gamble 2034 Bond]</t>
  </si>
  <si>
    <t>CSR_NONSEC_5_10.0Y</t>
  </si>
  <si>
    <t>CSR_NONSEC_6_0.5Y  [Apple 2027 Bond]</t>
  </si>
  <si>
    <t>CSR_NONSEC_6_0.5Y</t>
  </si>
  <si>
    <t>Apple 2027 Bond</t>
  </si>
  <si>
    <t>CSR_NONSEC_6_0.5Y  [Microsoft 2028 Bond]</t>
  </si>
  <si>
    <t>Microsoft 2028 Bond</t>
  </si>
  <si>
    <t>CSR_NONSEC_6_0.5Y  [Verizon 2029 Bond]</t>
  </si>
  <si>
    <t>Verizon 2029 Bond</t>
  </si>
  <si>
    <t>CSR_NONSEC_6_0.5Y  [Oracle 2028 Bond]</t>
  </si>
  <si>
    <t>Oracle 2028 Bond</t>
  </si>
  <si>
    <t>CSR_NONSEC_6_0.5Y  [Intel 2029 Bond]</t>
  </si>
  <si>
    <t>Intel 2029 Bond</t>
  </si>
  <si>
    <t>CSR_NONSEC_6_0.5Y  [Netflix 2029 Bond]</t>
  </si>
  <si>
    <t>Netflix 2029 Bond</t>
  </si>
  <si>
    <t>CSR_NONSEC_6_1.0Y  [Apple 2027 Bond]</t>
  </si>
  <si>
    <t>CSR_NONSEC_6_1.0Y</t>
  </si>
  <si>
    <t>CSR_NONSEC_6_1.0Y  [Microsoft 2028 Bond]</t>
  </si>
  <si>
    <t>CSR_NONSEC_6_1.0Y  [Verizon 2029 Bond]</t>
  </si>
  <si>
    <t>CSR_NONSEC_6_1.0Y  [Oracle 2028 Bond]</t>
  </si>
  <si>
    <t>CSR_NONSEC_6_1.0Y  [Intel 2029 Bond]</t>
  </si>
  <si>
    <t>CSR_NONSEC_6_1.0Y  [Netflix 2029 Bond]</t>
  </si>
  <si>
    <t>CSR_NONSEC_6_3.0Y  [Apple 2027 Bond]</t>
  </si>
  <si>
    <t>CSR_NONSEC_6_3.0Y</t>
  </si>
  <si>
    <t>CSR_NONSEC_6_3.0Y  [Microsoft 2028 Bond]</t>
  </si>
  <si>
    <t>CSR_NONSEC_6_3.0Y  [Verizon 2029 Bond]</t>
  </si>
  <si>
    <t>CSR_NONSEC_6_3.0Y  [Oracle 2028 Bond]</t>
  </si>
  <si>
    <t>CSR_NONSEC_6_3.0Y  [Intel 2029 Bond]</t>
  </si>
  <si>
    <t>CSR_NONSEC_6_3.0Y  [Netflix 2029 Bond]</t>
  </si>
  <si>
    <t>CSR_NONSEC_6_5.0Y  [Verizon 2029 Bond]</t>
  </si>
  <si>
    <t>CSR_NONSEC_6_5.0Y</t>
  </si>
  <si>
    <t>CSR_NONSEC_6_5.0Y  [Intel 2029 Bond]</t>
  </si>
  <si>
    <t>CSR_NONSEC_6_5.0Y  [Netflix 2029 Bond]</t>
  </si>
  <si>
    <t>CSR_NONSEC_7_0.5Y  [Pfizer 2030 Callable Bond]</t>
  </si>
  <si>
    <t>CSR_NONSEC_7_0.5Y</t>
  </si>
  <si>
    <t>Pfizer 2030 Callable Bond</t>
  </si>
  <si>
    <t>CSR_NONSEC_7_0.5Y  [Johnson &amp; Johnson 2027 Bond]</t>
  </si>
  <si>
    <t>Johnson &amp; Johnson 2027 Bond</t>
  </si>
  <si>
    <t>CSR_NONSEC_7_0.5Y  [Amgen 2027 Bond]</t>
  </si>
  <si>
    <t>Amgen 2027 Bond</t>
  </si>
  <si>
    <t>CSR_NONSEC_7_1.0Y  [Pfizer 2030 Callable Bond]</t>
  </si>
  <si>
    <t>CSR_NONSEC_7_1.0Y</t>
  </si>
  <si>
    <t>CSR_NONSEC_7_1.0Y  [Johnson &amp; Johnson 2027 Bond]</t>
  </si>
  <si>
    <t>CSR_NONSEC_7_1.0Y  [Amgen 2027 Bond]</t>
  </si>
  <si>
    <t>CSR_NONSEC_7_3.0Y  [Pfizer 2030 Callable Bond]</t>
  </si>
  <si>
    <t>CSR_NONSEC_7_3.0Y</t>
  </si>
  <si>
    <t>CSR_NONSEC_7_3.0Y  [Amgen 2027 Bond]</t>
  </si>
  <si>
    <t>CSR_NONSEC_7_5.0Y  [Pfizer 2030 Callable Bond]</t>
  </si>
  <si>
    <t>CSR_NONSEC_7_5.0Y</t>
  </si>
  <si>
    <t>CSR_SEC_NONCTP</t>
  </si>
  <si>
    <t>CSR_SEC_NONCTP_1_0.5Y  [RMBS-2023-1-A (Senior)]</t>
  </si>
  <si>
    <t>CSR_SEC_NONCTP_1_0.5Y</t>
  </si>
  <si>
    <t>RMBS-2023-1-A (Senior)</t>
  </si>
  <si>
    <t>CSR_SEC_NONCTP_1_1.0Y  [RMBS-2023-1-A (Senior)]</t>
  </si>
  <si>
    <t>CSR_SEC_NONCTP_1_1.0Y</t>
  </si>
  <si>
    <t>CSR_SEC_NONCTP_1_3.0Y  [RMBS-2023-1-A (Senior)]</t>
  </si>
  <si>
    <t>CSR_SEC_NONCTP_1_3.0Y</t>
  </si>
  <si>
    <t>CSR_SEC_NONCTP_4_0.5Y  [CMBS-2024-RE1-A1 (Senior)]</t>
  </si>
  <si>
    <t>CSR_SEC_NONCTP_4_0.5Y</t>
  </si>
  <si>
    <t>CMBS-2024-RE1-A1 (Senior)</t>
  </si>
  <si>
    <t>CSR_SEC_NONCTP_4_0.5Y  [CMBS-2024-RE1-A2]</t>
  </si>
  <si>
    <t>CMBS-2024-RE1-A2</t>
  </si>
  <si>
    <t>CSR_SEC_NONCTP_4_1.0Y  [CMBS-2024-RE1-A1 (Senior)]</t>
  </si>
  <si>
    <t>CSR_SEC_NONCTP_4_1.0Y</t>
  </si>
  <si>
    <t>CSR_SEC_NONCTP_4_1.0Y  [CMBS-2024-RE1-A2]</t>
  </si>
  <si>
    <t>CSR_SEC_NONCTP_4_3.0Y  [CMBS-2024-RE1-A1 (Senior)]</t>
  </si>
  <si>
    <t>CSR_SEC_NONCTP_4_3.0Y</t>
  </si>
  <si>
    <t>CSR_SEC_NONCTP_4_3.0Y  [CMBS-2024-RE1-A2]</t>
  </si>
  <si>
    <t>CSR_SEC_NONCTP_4_5.0Y  [CMBS-2024-RE1-A1 (Senior)]</t>
  </si>
  <si>
    <t>CSR_SEC_NONCTP_4_5.0Y</t>
  </si>
  <si>
    <t>CSR_SEC_NONCTP_4_5.0Y  [CMBS-2024-RE1-A2]</t>
  </si>
  <si>
    <t>CSR_SEC_NONCTP_4_10.0Y  [CMBS-2024-RE1-A1 (Senior)]</t>
  </si>
  <si>
    <t>CSR_SEC_NONCTP_4_10.0Y</t>
  </si>
  <si>
    <t>CSR_SEC_NONCTP_4_10.0Y  [CMBS-2024-RE1-A2]</t>
  </si>
  <si>
    <t>CSR_SEC_NONCTP_6_0.5Y  [ABCP MultiSeller 2025]</t>
  </si>
  <si>
    <t>CSR_SEC_NONCTP_6_0.5Y</t>
  </si>
  <si>
    <t>ABCP MultiSeller 2025</t>
  </si>
  <si>
    <t>CSR_SEC_NONCTP_6_0.5Y  [CC-ABS-2024-A (Senior)]</t>
  </si>
  <si>
    <t>CC-ABS-2024-A (Senior)</t>
  </si>
  <si>
    <t>CSR_SEC_NONCTP_6_1.0Y  [ABCP MultiSeller 2025]</t>
  </si>
  <si>
    <t>CSR_SEC_NONCTP_6_1.0Y</t>
  </si>
  <si>
    <t>CSR_SEC_NONCTP_6_1.0Y  [CC-ABS-2024-A (Senior)]</t>
  </si>
  <si>
    <t>CSR_SEC_NONCTP_6_3.0Y  [CC-ABS-2024-A (Senior)]</t>
  </si>
  <si>
    <t>CSR_SEC_NONCTP_6_3.0Y</t>
  </si>
  <si>
    <t>CSR_SEC_NONCTP_6_5.0Y  [CC-ABS-2024-A (Senior)]</t>
  </si>
  <si>
    <t>CSR_SEC_NONCTP_6_5.0Y</t>
  </si>
  <si>
    <t>CSR_SEC_NONCTP_7_0.5Y  [AUTO-2024-1-A (Senior)]</t>
  </si>
  <si>
    <t>CSR_SEC_NONCTP_7_0.5Y</t>
  </si>
  <si>
    <t>AUTO-2024-1-A (Senior)</t>
  </si>
  <si>
    <t>CSR_SEC_NONCTP_7_1.0Y  [AUTO-2024-1-A (Senior)]</t>
  </si>
  <si>
    <t>CSR_SEC_NONCTP_7_1.0Y</t>
  </si>
  <si>
    <t>CSR_SEC_NONCTP_7_3.0Y  [AUTO-2024-1-A (Senior)]</t>
  </si>
  <si>
    <t>CSR_SEC_NONCTP_7_3.0Y</t>
  </si>
  <si>
    <t>CSR_SEC_NONCTP_7_5.0Y  [AUTO-2024-1-A (Senior)]</t>
  </si>
  <si>
    <t>CSR_SEC_NONCTP_7_5.0Y</t>
  </si>
  <si>
    <t>CSR_SEC_NONCTP_8_0.5Y  [CLO-2019-LVG-A (Senior)]</t>
  </si>
  <si>
    <t>CSR_SEC_NONCTP_8_0.5Y</t>
  </si>
  <si>
    <t>CLO-2019-LVG-A (Senior)</t>
  </si>
  <si>
    <t>CSR_SEC_NONCTP_8_1.0Y  [CLO-2019-LVG-A (Senior)]</t>
  </si>
  <si>
    <t>CSR_SEC_NONCTP_8_1.0Y</t>
  </si>
  <si>
    <t>CSR_SEC_NONCTP_8_3.0Y  [CLO-2019-LVG-A (Senior)]</t>
  </si>
  <si>
    <t>CSR_SEC_NONCTP_8_3.0Y</t>
  </si>
  <si>
    <t>CSR_SEC_NONCTP_8_5.0Y  [CLO-2019-LVG-A (Senior)]</t>
  </si>
  <si>
    <t>CSR_SEC_NONCTP_8_5.0Y</t>
  </si>
  <si>
    <t>CSR_SEC_NONCTP_9_0.5Y  [RMBS-2023-1-M (Mezz)]</t>
  </si>
  <si>
    <t>CSR_SEC_NONCTP_9_0.5Y</t>
  </si>
  <si>
    <t>RMBS-2023-1-M (Mezz)</t>
  </si>
  <si>
    <t>CSR_SEC_NONCTP_9_0.5Y  [RMBS-2023-1-B (Short Mezz)]</t>
  </si>
  <si>
    <t>RMBS-2023-1-B (Short Mezz)</t>
  </si>
  <si>
    <t>CSR_SEC_NONCTP_9_1.0Y  [RMBS-2023-1-M (Mezz)]</t>
  </si>
  <si>
    <t>CSR_SEC_NONCTP_9_1.0Y</t>
  </si>
  <si>
    <t>CSR_SEC_NONCTP_9_1.0Y  [RMBS-2023-1-B (Short Mezz)]</t>
  </si>
  <si>
    <t>CSR_SEC_NONCTP_9_3.0Y  [RMBS-2023-1-M (Mezz)]</t>
  </si>
  <si>
    <t>CSR_SEC_NONCTP_9_3.0Y</t>
  </si>
  <si>
    <t>CSR_SEC_NONCTP_9_3.0Y  [RMBS-2023-1-B (Short Mezz)]</t>
  </si>
  <si>
    <t>CSR_SEC_NONCTP_12_0.5Y  [CMBS-2024-RE1-B (Mezz)]</t>
  </si>
  <si>
    <t>CSR_SEC_NONCTP_12_0.5Y</t>
  </si>
  <si>
    <t>CMBS-2024-RE1-B (Mezz)</t>
  </si>
  <si>
    <t>CSR_SEC_NONCTP_12_1.0Y  [CMBS-2024-RE1-B (Mezz)]</t>
  </si>
  <si>
    <t>CSR_SEC_NONCTP_12_1.0Y</t>
  </si>
  <si>
    <t>CSR_SEC_NONCTP_12_3.0Y  [CMBS-2024-RE1-B (Mezz)]</t>
  </si>
  <si>
    <t>CSR_SEC_NONCTP_12_3.0Y</t>
  </si>
  <si>
    <t>CSR_SEC_NONCTP_12_5.0Y  [CMBS-2024-RE1-B (Mezz)]</t>
  </si>
  <si>
    <t>CSR_SEC_NONCTP_12_5.0Y</t>
  </si>
  <si>
    <t>CSR_SEC_NONCTP_12_10.0Y  [CMBS-2024-RE1-B (Mezz)]</t>
  </si>
  <si>
    <t>CSR_SEC_NONCTP_12_10.0Y</t>
  </si>
  <si>
    <t>CSR_SEC_NONCTP_14_0.5Y  [CC-ABS-2024-B (Mezz)]</t>
  </si>
  <si>
    <t>CSR_SEC_NONCTP_14_0.5Y</t>
  </si>
  <si>
    <t>CC-ABS-2024-B (Mezz)</t>
  </si>
  <si>
    <t>CSR_SEC_NONCTP_14_0.5Y  [CC-ABS-2024-C (Junior)]</t>
  </si>
  <si>
    <t>CC-ABS-2024-C (Junior)</t>
  </si>
  <si>
    <t>CSR_SEC_NONCTP_14_1.0Y  [CC-ABS-2024-B (Mezz)]</t>
  </si>
  <si>
    <t>CSR_SEC_NONCTP_14_1.0Y</t>
  </si>
  <si>
    <t>CSR_SEC_NONCTP_14_1.0Y  [CC-ABS-2024-C (Junior)]</t>
  </si>
  <si>
    <t>CSR_SEC_NONCTP_14_3.0Y  [CC-ABS-2024-B (Mezz)]</t>
  </si>
  <si>
    <t>CSR_SEC_NONCTP_14_3.0Y</t>
  </si>
  <si>
    <t>CSR_SEC_NONCTP_14_3.0Y  [CC-ABS-2024-C (Junior)]</t>
  </si>
  <si>
    <t>CSR_SEC_NONCTP_14_5.0Y  [CC-ABS-2024-B (Mezz)]</t>
  </si>
  <si>
    <t>CSR_SEC_NONCTP_14_5.0Y</t>
  </si>
  <si>
    <t>CSR_SEC_NONCTP_14_5.0Y  [CC-ABS-2024-C (Junior)]</t>
  </si>
  <si>
    <t>CSR_SEC_NONCTP_15_0.5Y  [AUTO-2024-1-B (Short Mezz)]</t>
  </si>
  <si>
    <t>CSR_SEC_NONCTP_15_0.5Y</t>
  </si>
  <si>
    <t>AUTO-2024-1-B (Short Mezz)</t>
  </si>
  <si>
    <t>CSR_SEC_NONCTP_15_1.0Y  [AUTO-2024-1-B (Short Mezz)]</t>
  </si>
  <si>
    <t>CSR_SEC_NONCTP_15_1.0Y</t>
  </si>
  <si>
    <t>CSR_SEC_NONCTP_15_3.0Y  [AUTO-2024-1-B (Short Mezz)]</t>
  </si>
  <si>
    <t>CSR_SEC_NONCTP_15_3.0Y</t>
  </si>
  <si>
    <t>CSR_SEC_NONCTP_15_5.0Y  [AUTO-2024-1-B (Short Mezz)]</t>
  </si>
  <si>
    <t>CSR_SEC_NONCTP_15_5.0Y</t>
  </si>
  <si>
    <t>CSR_SEC_NONCTP_16_0.5Y  [CLO-2023-LVG-B (Mezz)]</t>
  </si>
  <si>
    <t>CSR_SEC_NONCTP_16_0.5Y</t>
  </si>
  <si>
    <t>CLO-2023-LVG-B (Mezz)</t>
  </si>
  <si>
    <t>CSR_SEC_NONCTP_16_0.5Y  [CLO-2023-LVG-C (Mezz)]</t>
  </si>
  <si>
    <t>CLO-2023-LVG-C (Mezz)</t>
  </si>
  <si>
    <t>CSR_SEC_NONCTP_16_1.0Y  [CLO-2023-LVG-B (Mezz)]</t>
  </si>
  <si>
    <t>CSR_SEC_NONCTP_16_1.0Y</t>
  </si>
  <si>
    <t>CSR_SEC_NONCTP_16_1.0Y  [CLO-2023-LVG-C (Mezz)]</t>
  </si>
  <si>
    <t>CSR_SEC_NONCTP_16_3.0Y  [CLO-2023-LVG-B (Mezz)]</t>
  </si>
  <si>
    <t>CSR_SEC_NONCTP_16_3.0Y</t>
  </si>
  <si>
    <t>CSR_SEC_NONCTP_16_3.0Y  [CLO-2023-LVG-C (Mezz)]</t>
  </si>
  <si>
    <t>CSR_SEC_NONCTP_16_5.0Y  [CLO-2023-LVG-B (Mezz)]</t>
  </si>
  <si>
    <t>CSR_SEC_NONCTP_16_5.0Y</t>
  </si>
  <si>
    <t>CSR_SEC_NONCTP_16_5.0Y  [CLO-2023-LVG-C (Mezz)]</t>
  </si>
  <si>
    <t>EQUITY</t>
  </si>
  <si>
    <t>EQ_5_AMZN</t>
  </si>
  <si>
    <t>AMAZON.COM INC</t>
  </si>
  <si>
    <t>EQ_7_XOM</t>
  </si>
  <si>
    <t>EXXON MOBIL CORP</t>
  </si>
  <si>
    <t>EQ_8_AAPL</t>
  </si>
  <si>
    <t>APPLE INC</t>
  </si>
  <si>
    <t>EQ_8_BRK.B</t>
  </si>
  <si>
    <t>BERKSHIRE HATHAWAY CL B</t>
  </si>
  <si>
    <t>EQ_8_EQIX</t>
  </si>
  <si>
    <t>EQUINIX INC</t>
  </si>
  <si>
    <t>EQ_8_GOOGL</t>
  </si>
  <si>
    <t>ALPHABET INC CL A</t>
  </si>
  <si>
    <t>EQ_8_JPM</t>
  </si>
  <si>
    <t>JPMORGAN CHASE &amp; CO</t>
  </si>
  <si>
    <t>EQ_8_META</t>
  </si>
  <si>
    <t>META PLATFORMS INC</t>
  </si>
  <si>
    <t>EQ_8_MSFT</t>
  </si>
  <si>
    <t>MICROSOFT CORP</t>
  </si>
  <si>
    <t>EQ_8_NVDA</t>
  </si>
  <si>
    <t>NVIDIA CORP</t>
  </si>
  <si>
    <t>EQ_12_SPX</t>
  </si>
  <si>
    <t>SPX 7100 Call Apr-26</t>
  </si>
  <si>
    <t>FX</t>
  </si>
  <si>
    <t>GBP/USD</t>
  </si>
  <si>
    <t>FX_GBP/USD</t>
  </si>
  <si>
    <t>GBP/USD XCcy Basis Swap 5Y-Leg2</t>
  </si>
  <si>
    <t>GIRR</t>
  </si>
  <si>
    <t>GBP</t>
  </si>
  <si>
    <t>GIRR_GBP_0.25Y</t>
  </si>
  <si>
    <t>GIRR_GBP_0.5Y</t>
  </si>
  <si>
    <t>GIRR_GBP_1.0Y</t>
  </si>
  <si>
    <t>GIRR_GBP_2.0Y</t>
  </si>
  <si>
    <t>GIRR_GBP_3.0Y</t>
  </si>
  <si>
    <t>GIRR_GBP_5.0Y</t>
  </si>
  <si>
    <t>GIRR_GBP_10.0Y</t>
  </si>
  <si>
    <t>UK IL Gilt 0.125% 2031 (UKTI 0.125 2031)</t>
  </si>
  <si>
    <t>GIRR_GBP_15.0Y</t>
  </si>
  <si>
    <t>UK IL Gilt 1.25% 2055 (UKTI 1.25 2055)</t>
  </si>
  <si>
    <t>GIRR_GBP_20.0Y</t>
  </si>
  <si>
    <t>GIRR_GBP_30.0Y</t>
  </si>
  <si>
    <t>GIRR_GBP_INFLATION</t>
  </si>
  <si>
    <t>inflation</t>
  </si>
  <si>
    <t>GIRR_GBP_XCCY_BASIS</t>
  </si>
  <si>
    <t>xccy_basis</t>
  </si>
  <si>
    <t>USD</t>
  </si>
  <si>
    <t>GIRR_USD_0.25Y</t>
  </si>
  <si>
    <t>US Treasury 4.125% 2029</t>
  </si>
  <si>
    <t>GIRR_USD_0.5Y</t>
  </si>
  <si>
    <t>GIRR_USD_1.0Y</t>
  </si>
  <si>
    <t>US Tbill June 2027</t>
  </si>
  <si>
    <t>GIRR_USD_2.0Y</t>
  </si>
  <si>
    <t>GIRR_USD_3.0Y</t>
  </si>
  <si>
    <t>GIRR_USD_5.0Y</t>
  </si>
  <si>
    <t>GIRR_USD_10.0Y</t>
  </si>
  <si>
    <t>vega</t>
  </si>
  <si>
    <t>VEGA_EQ_12_SPX_0.5Y</t>
  </si>
  <si>
    <t>VEGA_EQ_12_SPX_1.0Y</t>
  </si>
  <si>
    <t>SPX 7175 Call Mar-27</t>
  </si>
  <si>
    <t>VEGA_EQ_12_SPX_3.0Y</t>
  </si>
  <si>
    <t>VEGA_GIRR_USD_1.0Y_1.0Y</t>
  </si>
  <si>
    <t>VEGA_GIRR_USD_1.0Y_3.0Y</t>
  </si>
  <si>
    <t>VEGA_GIRR_USD_3.0Y_0.5Y</t>
  </si>
  <si>
    <t>VEGA_GIRR_USD_3.0Y_1.0Y</t>
  </si>
  <si>
    <t>VEGA_GIRR_USD_3.0Y_3.0Y</t>
  </si>
  <si>
    <t>VEGA_GIRR_USD_5.0Y_0.5Y</t>
  </si>
  <si>
    <t>VEGA_GIRR_USD_5.0Y_1.0Y</t>
  </si>
  <si>
    <t>VEGA_GIRR_USD_5.0Y_3.0Y</t>
  </si>
  <si>
    <t>position_id</t>
  </si>
  <si>
    <t>value</t>
  </si>
  <si>
    <t>rw_base</t>
  </si>
  <si>
    <t>divisor</t>
  </si>
  <si>
    <t>divisor_reference</t>
  </si>
  <si>
    <t>rw</t>
  </si>
  <si>
    <t>ws</t>
  </si>
  <si>
    <t>TRS on BCOM Commodity Index- GS-Leg1</t>
  </si>
  <si>
    <t>TRS on BCOM Commodity Index- JPM-Leg1</t>
  </si>
  <si>
    <t>SPX 7180 Call Mar-26</t>
  </si>
  <si>
    <t>SPX 7110 Call Mar-26</t>
  </si>
  <si>
    <t>MAR21.88 specified pair</t>
  </si>
  <si>
    <t>UK IL Gilt 0.75% 2034 (UKTI 0.75 2034)</t>
  </si>
  <si>
    <t>MAR21.44 specified ccy</t>
  </si>
  <si>
    <t>TRS on BCOM Commodity Index-Barclays-Leg2</t>
  </si>
  <si>
    <t>TRS on BCOM Commodity Index- GS-Leg2</t>
  </si>
  <si>
    <t>TRS on BCOM Commodity Index- JPM-Leg2</t>
  </si>
  <si>
    <t>GBP/USD XCcy Basis Swap 5Y-Leg1</t>
  </si>
  <si>
    <t>n_distinct_factors</t>
  </si>
  <si>
    <t>Sb</t>
  </si>
  <si>
    <t>Kb</t>
  </si>
  <si>
    <t>mode</t>
  </si>
  <si>
    <t>scenario</t>
  </si>
  <si>
    <t>pairwise</t>
  </si>
  <si>
    <t>low</t>
  </si>
  <si>
    <t>Bucket: COMMODITY | 2   (n_factors=5)</t>
  </si>
  <si>
    <t>Bucket: COMMODITY | 5   (n_factors=5)</t>
  </si>
  <si>
    <t>Bucket: COMMODITY | 7   (n_factors=2)</t>
  </si>
  <si>
    <t>Bucket: COMMODITY | 8   (n_factors=6)</t>
  </si>
  <si>
    <t>Bucket: COMMODITY | 9   (n_factors=2)</t>
  </si>
  <si>
    <t>Bucket: COMMODITY | 10   (n_factors=4)</t>
  </si>
  <si>
    <t>Bucket: CSR_NONSEC | 3   (n_factors=6)</t>
  </si>
  <si>
    <t>Bucket: CSR_NONSEC | 4   (n_factors=18)</t>
  </si>
  <si>
    <t>Bucket: CSR_NONSEC | 5   (n_factors=12)</t>
  </si>
  <si>
    <t>Bucket: CSR_NONSEC | 6   (n_factors=21)</t>
  </si>
  <si>
    <t>Bucket: CSR_NONSEC | 7   (n_factors=9)</t>
  </si>
  <si>
    <t>Bucket: CSR_SEC_NONCTP | 1   (n_factors=3)</t>
  </si>
  <si>
    <t>Bucket: CSR_SEC_NONCTP | 4   (n_factors=10)</t>
  </si>
  <si>
    <t>Bucket: CSR_SEC_NONCTP | 6   (n_factors=6)</t>
  </si>
  <si>
    <t>Bucket: CSR_SEC_NONCTP | 7   (n_factors=4)</t>
  </si>
  <si>
    <t>Bucket: CSR_SEC_NONCTP | 8   (n_factors=4)</t>
  </si>
  <si>
    <t>Bucket: CSR_SEC_NONCTP | 9   (n_factors=6)</t>
  </si>
  <si>
    <t>Bucket: CSR_SEC_NONCTP | 12   (n_factors=5)</t>
  </si>
  <si>
    <t>Bucket: CSR_SEC_NONCTP | 14   (n_factors=8)</t>
  </si>
  <si>
    <t>Bucket: CSR_SEC_NONCTP | 15   (n_factors=4)</t>
  </si>
  <si>
    <t>Bucket: CSR_SEC_NONCTP | 16   (n_factors=8)</t>
  </si>
  <si>
    <t>Bucket: EQUITY | 8   (n_factors=8)</t>
  </si>
  <si>
    <t>Bucket: GIRR | GBP   (n_factors=12)</t>
  </si>
  <si>
    <t>Bucket: GIRR | USD   (n_factors=7)</t>
  </si>
  <si>
    <t>Bucket: EQUITY | 12   (n_factors=3)</t>
  </si>
  <si>
    <t>Bucket: GIRR | USD   (n_factors=8)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</si>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</sst>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3" fontId="1" fillId="0" borderId="1" xfId="1" applyFont="1" applyBorder="1" applyAlignment="1">
      <alignment horizontal="center" vertical="top"/>
    </xf>
    <xf numFmtId="43" fontId="0" fillId="0" borderId="0" xfId="1" applyFont="1"/>
    <xf numFmtId="43" fontId="0" fillId="2" borderId="0" xfId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2"/>
  <sheetViews>
    <sheetView workbookViewId="0"/>
  </sheetViews>
  <sheetFormatPr defaultRowHeight="14.5" x14ac:dyDescent="0.35"/>
  <sheetData>
    <row r="1" spans="1:11" x14ac:dyDescent="0.3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</row>
    <row r="2" spans="1:11" x14ac:dyDescent="0.35">
      <c r="A2" t="s">
        <v>23</v>
      </c>
      <c r="B2" t="s">
        <v>24</v>
      </c>
      <c r="C2">
        <v>2</v>
      </c>
      <c r="D2" t="s">
        <v>25</v>
      </c>
      <c r="E2" t="s">
        <v>25</v>
      </c>
      <c r="F2" t="s">
        <v>26</v>
      </c>
      <c r="I2">
        <v>4180100</v>
      </c>
      <c r="J2">
        <v>1463035</v>
      </c>
      <c r="K2">
        <v>3</v>
      </c>
    </row>
    <row r="3" spans="1:11" x14ac:dyDescent="0.35">
      <c r="A3" t="s">
        <v>23</v>
      </c>
      <c r="B3" t="s">
        <v>24</v>
      </c>
      <c r="C3">
        <v>2</v>
      </c>
      <c r="D3" t="s">
        <v>27</v>
      </c>
      <c r="E3" t="s">
        <v>27</v>
      </c>
      <c r="F3" t="s">
        <v>26</v>
      </c>
      <c r="I3">
        <v>1445300</v>
      </c>
      <c r="J3">
        <v>505855</v>
      </c>
      <c r="K3">
        <v>3</v>
      </c>
    </row>
    <row r="4" spans="1:11" x14ac:dyDescent="0.35">
      <c r="A4" t="s">
        <v>23</v>
      </c>
      <c r="B4" t="s">
        <v>24</v>
      </c>
      <c r="C4">
        <v>2</v>
      </c>
      <c r="D4" t="s">
        <v>28</v>
      </c>
      <c r="E4" t="s">
        <v>28</v>
      </c>
      <c r="F4" t="s">
        <v>26</v>
      </c>
      <c r="I4">
        <v>1077350</v>
      </c>
      <c r="J4">
        <v>377072.5</v>
      </c>
      <c r="K4">
        <v>3</v>
      </c>
    </row>
    <row r="5" spans="1:11" x14ac:dyDescent="0.35">
      <c r="A5" t="s">
        <v>23</v>
      </c>
      <c r="B5" t="s">
        <v>24</v>
      </c>
      <c r="C5">
        <v>2</v>
      </c>
      <c r="D5" t="s">
        <v>29</v>
      </c>
      <c r="E5" t="s">
        <v>29</v>
      </c>
      <c r="F5" t="s">
        <v>26</v>
      </c>
      <c r="I5">
        <v>1096150</v>
      </c>
      <c r="J5">
        <v>383652.49999999988</v>
      </c>
      <c r="K5">
        <v>3</v>
      </c>
    </row>
    <row r="6" spans="1:11" x14ac:dyDescent="0.35">
      <c r="A6" t="s">
        <v>23</v>
      </c>
      <c r="B6" t="s">
        <v>24</v>
      </c>
      <c r="C6">
        <v>2</v>
      </c>
      <c r="D6" t="s">
        <v>30</v>
      </c>
      <c r="E6" t="s">
        <v>30</v>
      </c>
      <c r="F6" t="s">
        <v>26</v>
      </c>
      <c r="I6">
        <v>3319900</v>
      </c>
      <c r="J6">
        <v>1161965</v>
      </c>
      <c r="K6">
        <v>3</v>
      </c>
    </row>
    <row r="7" spans="1:11" x14ac:dyDescent="0.35">
      <c r="A7" t="s">
        <v>23</v>
      </c>
      <c r="B7" t="s">
        <v>24</v>
      </c>
      <c r="C7">
        <v>5</v>
      </c>
      <c r="D7" t="s">
        <v>31</v>
      </c>
      <c r="E7" t="s">
        <v>31</v>
      </c>
      <c r="F7" t="s">
        <v>26</v>
      </c>
      <c r="I7">
        <v>1985300</v>
      </c>
      <c r="J7">
        <v>794120</v>
      </c>
      <c r="K7">
        <v>3</v>
      </c>
    </row>
    <row r="8" spans="1:11" x14ac:dyDescent="0.35">
      <c r="A8" t="s">
        <v>23</v>
      </c>
      <c r="B8" t="s">
        <v>24</v>
      </c>
      <c r="C8">
        <v>5</v>
      </c>
      <c r="D8" t="s">
        <v>32</v>
      </c>
      <c r="E8" t="s">
        <v>32</v>
      </c>
      <c r="F8" t="s">
        <v>26</v>
      </c>
      <c r="I8">
        <v>3181000</v>
      </c>
      <c r="J8">
        <v>1272400</v>
      </c>
      <c r="K8">
        <v>3</v>
      </c>
    </row>
    <row r="9" spans="1:11" x14ac:dyDescent="0.35">
      <c r="A9" t="s">
        <v>23</v>
      </c>
      <c r="B9" t="s">
        <v>24</v>
      </c>
      <c r="C9">
        <v>5</v>
      </c>
      <c r="D9" t="s">
        <v>33</v>
      </c>
      <c r="E9" t="s">
        <v>33</v>
      </c>
      <c r="F9" t="s">
        <v>26</v>
      </c>
      <c r="I9">
        <v>474900</v>
      </c>
      <c r="J9">
        <v>189960</v>
      </c>
      <c r="K9">
        <v>3</v>
      </c>
    </row>
    <row r="10" spans="1:11" x14ac:dyDescent="0.35">
      <c r="A10" t="s">
        <v>23</v>
      </c>
      <c r="B10" t="s">
        <v>24</v>
      </c>
      <c r="C10">
        <v>5</v>
      </c>
      <c r="D10" t="s">
        <v>34</v>
      </c>
      <c r="E10" t="s">
        <v>34</v>
      </c>
      <c r="F10" t="s">
        <v>26</v>
      </c>
      <c r="I10">
        <v>1113900</v>
      </c>
      <c r="J10">
        <v>445560</v>
      </c>
      <c r="K10">
        <v>3</v>
      </c>
    </row>
    <row r="11" spans="1:11" x14ac:dyDescent="0.35">
      <c r="A11" t="s">
        <v>23</v>
      </c>
      <c r="B11" t="s">
        <v>24</v>
      </c>
      <c r="C11">
        <v>5</v>
      </c>
      <c r="D11" t="s">
        <v>35</v>
      </c>
      <c r="E11" t="s">
        <v>35</v>
      </c>
      <c r="F11" t="s">
        <v>26</v>
      </c>
      <c r="I11">
        <v>1124950</v>
      </c>
      <c r="J11">
        <v>449980</v>
      </c>
      <c r="K11">
        <v>3</v>
      </c>
    </row>
    <row r="12" spans="1:11" x14ac:dyDescent="0.35">
      <c r="A12" t="s">
        <v>23</v>
      </c>
      <c r="B12" t="s">
        <v>24</v>
      </c>
      <c r="C12">
        <v>6</v>
      </c>
      <c r="D12" t="s">
        <v>36</v>
      </c>
      <c r="E12" t="s">
        <v>36</v>
      </c>
      <c r="F12" t="s">
        <v>26</v>
      </c>
      <c r="I12">
        <v>3598950</v>
      </c>
      <c r="J12">
        <v>1619527.5</v>
      </c>
      <c r="K12">
        <v>3</v>
      </c>
    </row>
    <row r="13" spans="1:11" x14ac:dyDescent="0.35">
      <c r="A13" t="s">
        <v>23</v>
      </c>
      <c r="B13" t="s">
        <v>24</v>
      </c>
      <c r="C13">
        <v>7</v>
      </c>
      <c r="D13" t="s">
        <v>37</v>
      </c>
      <c r="E13" t="s">
        <v>37</v>
      </c>
      <c r="F13" t="s">
        <v>26</v>
      </c>
      <c r="I13">
        <v>7447850</v>
      </c>
      <c r="J13">
        <v>1489570</v>
      </c>
      <c r="K13">
        <v>3</v>
      </c>
    </row>
    <row r="14" spans="1:11" x14ac:dyDescent="0.35">
      <c r="A14" t="s">
        <v>23</v>
      </c>
      <c r="B14" t="s">
        <v>24</v>
      </c>
      <c r="C14">
        <v>7</v>
      </c>
      <c r="D14" t="s">
        <v>38</v>
      </c>
      <c r="E14" t="s">
        <v>38</v>
      </c>
      <c r="F14" t="s">
        <v>26</v>
      </c>
      <c r="I14">
        <v>1971800</v>
      </c>
      <c r="J14">
        <v>394360</v>
      </c>
      <c r="K14">
        <v>3</v>
      </c>
    </row>
    <row r="15" spans="1:11" x14ac:dyDescent="0.35">
      <c r="A15" t="s">
        <v>23</v>
      </c>
      <c r="B15" t="s">
        <v>24</v>
      </c>
      <c r="C15">
        <v>8</v>
      </c>
      <c r="D15" t="s">
        <v>39</v>
      </c>
      <c r="E15" t="s">
        <v>39</v>
      </c>
      <c r="F15" t="s">
        <v>26</v>
      </c>
      <c r="I15">
        <v>2764100</v>
      </c>
      <c r="J15">
        <v>967435</v>
      </c>
      <c r="K15">
        <v>3</v>
      </c>
    </row>
    <row r="16" spans="1:11" x14ac:dyDescent="0.35">
      <c r="A16" t="s">
        <v>23</v>
      </c>
      <c r="B16" t="s">
        <v>24</v>
      </c>
      <c r="C16">
        <v>8</v>
      </c>
      <c r="D16" t="s">
        <v>40</v>
      </c>
      <c r="E16" t="s">
        <v>40</v>
      </c>
      <c r="F16" t="s">
        <v>26</v>
      </c>
      <c r="I16">
        <v>895550</v>
      </c>
      <c r="J16">
        <v>313442.5</v>
      </c>
      <c r="K16">
        <v>3</v>
      </c>
    </row>
    <row r="17" spans="1:11" x14ac:dyDescent="0.35">
      <c r="A17" t="s">
        <v>23</v>
      </c>
      <c r="B17" t="s">
        <v>24</v>
      </c>
      <c r="C17">
        <v>8</v>
      </c>
      <c r="D17" t="s">
        <v>41</v>
      </c>
      <c r="E17" t="s">
        <v>41</v>
      </c>
      <c r="F17" t="s">
        <v>26</v>
      </c>
      <c r="I17">
        <v>1466750</v>
      </c>
      <c r="J17">
        <v>513362.5</v>
      </c>
      <c r="K17">
        <v>3</v>
      </c>
    </row>
    <row r="18" spans="1:11" x14ac:dyDescent="0.35">
      <c r="A18" t="s">
        <v>23</v>
      </c>
      <c r="B18" t="s">
        <v>24</v>
      </c>
      <c r="C18">
        <v>8</v>
      </c>
      <c r="D18" t="s">
        <v>42</v>
      </c>
      <c r="E18" t="s">
        <v>42</v>
      </c>
      <c r="F18" t="s">
        <v>26</v>
      </c>
      <c r="I18">
        <v>1411900</v>
      </c>
      <c r="J18">
        <v>494165</v>
      </c>
      <c r="K18">
        <v>3</v>
      </c>
    </row>
    <row r="19" spans="1:11" x14ac:dyDescent="0.35">
      <c r="A19" t="s">
        <v>23</v>
      </c>
      <c r="B19" t="s">
        <v>24</v>
      </c>
      <c r="C19">
        <v>8</v>
      </c>
      <c r="D19" t="s">
        <v>43</v>
      </c>
      <c r="E19" t="s">
        <v>43</v>
      </c>
      <c r="F19" t="s">
        <v>26</v>
      </c>
      <c r="I19">
        <v>2677650</v>
      </c>
      <c r="J19">
        <v>937177.5</v>
      </c>
      <c r="K19">
        <v>3</v>
      </c>
    </row>
    <row r="20" spans="1:11" x14ac:dyDescent="0.35">
      <c r="A20" t="s">
        <v>23</v>
      </c>
      <c r="B20" t="s">
        <v>24</v>
      </c>
      <c r="C20">
        <v>8</v>
      </c>
      <c r="D20" t="s">
        <v>44</v>
      </c>
      <c r="E20" t="s">
        <v>44</v>
      </c>
      <c r="F20" t="s">
        <v>26</v>
      </c>
      <c r="I20">
        <v>1360850</v>
      </c>
      <c r="J20">
        <v>476297.5</v>
      </c>
      <c r="K20">
        <v>3</v>
      </c>
    </row>
    <row r="21" spans="1:11" x14ac:dyDescent="0.35">
      <c r="A21" t="s">
        <v>23</v>
      </c>
      <c r="B21" t="s">
        <v>24</v>
      </c>
      <c r="C21">
        <v>9</v>
      </c>
      <c r="D21" t="s">
        <v>45</v>
      </c>
      <c r="E21" t="s">
        <v>45</v>
      </c>
      <c r="F21" t="s">
        <v>26</v>
      </c>
      <c r="I21">
        <v>889300</v>
      </c>
      <c r="J21">
        <v>222325</v>
      </c>
      <c r="K21">
        <v>3</v>
      </c>
    </row>
    <row r="22" spans="1:11" x14ac:dyDescent="0.35">
      <c r="A22" t="s">
        <v>23</v>
      </c>
      <c r="B22" t="s">
        <v>24</v>
      </c>
      <c r="C22">
        <v>9</v>
      </c>
      <c r="D22" t="s">
        <v>46</v>
      </c>
      <c r="E22" t="s">
        <v>46</v>
      </c>
      <c r="F22" t="s">
        <v>26</v>
      </c>
      <c r="I22">
        <v>1929000</v>
      </c>
      <c r="J22">
        <v>482250.00000000012</v>
      </c>
      <c r="K22">
        <v>3</v>
      </c>
    </row>
    <row r="23" spans="1:11" x14ac:dyDescent="0.35">
      <c r="A23" t="s">
        <v>23</v>
      </c>
      <c r="B23" t="s">
        <v>24</v>
      </c>
      <c r="C23">
        <v>10</v>
      </c>
      <c r="D23" t="s">
        <v>47</v>
      </c>
      <c r="E23" t="s">
        <v>47</v>
      </c>
      <c r="F23" t="s">
        <v>26</v>
      </c>
      <c r="I23">
        <v>856850</v>
      </c>
      <c r="J23">
        <v>299897.5</v>
      </c>
      <c r="K23">
        <v>3</v>
      </c>
    </row>
    <row r="24" spans="1:11" x14ac:dyDescent="0.35">
      <c r="A24" t="s">
        <v>23</v>
      </c>
      <c r="B24" t="s">
        <v>24</v>
      </c>
      <c r="C24">
        <v>10</v>
      </c>
      <c r="D24" t="s">
        <v>48</v>
      </c>
      <c r="E24" t="s">
        <v>48</v>
      </c>
      <c r="F24" t="s">
        <v>26</v>
      </c>
      <c r="I24">
        <v>1457300</v>
      </c>
      <c r="J24">
        <v>510055</v>
      </c>
      <c r="K24">
        <v>3</v>
      </c>
    </row>
    <row r="25" spans="1:11" x14ac:dyDescent="0.35">
      <c r="A25" t="s">
        <v>23</v>
      </c>
      <c r="B25" t="s">
        <v>24</v>
      </c>
      <c r="C25">
        <v>10</v>
      </c>
      <c r="D25" t="s">
        <v>49</v>
      </c>
      <c r="E25" t="s">
        <v>49</v>
      </c>
      <c r="F25" t="s">
        <v>26</v>
      </c>
      <c r="I25">
        <v>797500</v>
      </c>
      <c r="J25">
        <v>279125</v>
      </c>
      <c r="K25">
        <v>3</v>
      </c>
    </row>
    <row r="26" spans="1:11" x14ac:dyDescent="0.35">
      <c r="A26" t="s">
        <v>23</v>
      </c>
      <c r="B26" t="s">
        <v>24</v>
      </c>
      <c r="C26">
        <v>10</v>
      </c>
      <c r="D26" t="s">
        <v>50</v>
      </c>
      <c r="E26" t="s">
        <v>50</v>
      </c>
      <c r="F26" t="s">
        <v>26</v>
      </c>
      <c r="I26">
        <v>1475700</v>
      </c>
      <c r="J26">
        <v>516495</v>
      </c>
      <c r="K26">
        <v>3</v>
      </c>
    </row>
    <row r="27" spans="1:11" x14ac:dyDescent="0.35">
      <c r="A27" t="s">
        <v>23</v>
      </c>
      <c r="B27" t="s">
        <v>51</v>
      </c>
      <c r="C27">
        <v>3</v>
      </c>
      <c r="D27" t="s">
        <v>52</v>
      </c>
      <c r="E27" t="s">
        <v>53</v>
      </c>
      <c r="F27" t="s">
        <v>54</v>
      </c>
      <c r="G27">
        <v>0.5</v>
      </c>
      <c r="I27">
        <v>-298852.2357733245</v>
      </c>
      <c r="J27">
        <v>-14942.61178866623</v>
      </c>
      <c r="K27">
        <v>1</v>
      </c>
    </row>
    <row r="28" spans="1:11" x14ac:dyDescent="0.35">
      <c r="A28" t="s">
        <v>23</v>
      </c>
      <c r="B28" t="s">
        <v>51</v>
      </c>
      <c r="C28">
        <v>3</v>
      </c>
      <c r="D28" t="s">
        <v>55</v>
      </c>
      <c r="E28" t="s">
        <v>53</v>
      </c>
      <c r="F28" t="s">
        <v>56</v>
      </c>
      <c r="G28">
        <v>0.5</v>
      </c>
      <c r="I28">
        <v>-319718.22536416992</v>
      </c>
      <c r="J28">
        <v>-15985.9112682085</v>
      </c>
      <c r="K28">
        <v>1</v>
      </c>
    </row>
    <row r="29" spans="1:11" x14ac:dyDescent="0.35">
      <c r="A29" t="s">
        <v>23</v>
      </c>
      <c r="B29" t="s">
        <v>51</v>
      </c>
      <c r="C29">
        <v>3</v>
      </c>
      <c r="D29" t="s">
        <v>57</v>
      </c>
      <c r="E29" t="s">
        <v>53</v>
      </c>
      <c r="F29" t="s">
        <v>58</v>
      </c>
      <c r="G29">
        <v>0.5</v>
      </c>
      <c r="I29">
        <v>-8201.6996763627503</v>
      </c>
      <c r="J29">
        <v>-410.08498381813752</v>
      </c>
      <c r="K29">
        <v>1</v>
      </c>
    </row>
    <row r="30" spans="1:11" x14ac:dyDescent="0.35">
      <c r="A30" t="s">
        <v>23</v>
      </c>
      <c r="B30" t="s">
        <v>51</v>
      </c>
      <c r="C30">
        <v>3</v>
      </c>
      <c r="D30" t="s">
        <v>59</v>
      </c>
      <c r="E30" t="s">
        <v>60</v>
      </c>
      <c r="F30" t="s">
        <v>56</v>
      </c>
      <c r="G30">
        <v>1</v>
      </c>
      <c r="I30">
        <v>-293272.25998650881</v>
      </c>
      <c r="J30">
        <v>-14663.61299932544</v>
      </c>
      <c r="K30">
        <v>1</v>
      </c>
    </row>
    <row r="31" spans="1:11" x14ac:dyDescent="0.35">
      <c r="A31" t="s">
        <v>23</v>
      </c>
      <c r="B31" t="s">
        <v>51</v>
      </c>
      <c r="C31">
        <v>3</v>
      </c>
      <c r="D31" t="s">
        <v>61</v>
      </c>
      <c r="E31" t="s">
        <v>60</v>
      </c>
      <c r="F31" t="s">
        <v>58</v>
      </c>
      <c r="G31">
        <v>1</v>
      </c>
      <c r="I31">
        <v>-672275.71341447858</v>
      </c>
      <c r="J31">
        <v>-33613.785670723933</v>
      </c>
      <c r="K31">
        <v>1</v>
      </c>
    </row>
    <row r="32" spans="1:11" x14ac:dyDescent="0.35">
      <c r="A32" t="s">
        <v>23</v>
      </c>
      <c r="B32" t="s">
        <v>51</v>
      </c>
      <c r="C32">
        <v>3</v>
      </c>
      <c r="D32" t="s">
        <v>62</v>
      </c>
      <c r="E32" t="s">
        <v>63</v>
      </c>
      <c r="F32" t="s">
        <v>58</v>
      </c>
      <c r="G32">
        <v>3</v>
      </c>
      <c r="I32">
        <v>-1131584.479480352</v>
      </c>
      <c r="J32">
        <v>-56579.223974017601</v>
      </c>
      <c r="K32">
        <v>1</v>
      </c>
    </row>
    <row r="33" spans="1:11" x14ac:dyDescent="0.35">
      <c r="A33" t="s">
        <v>23</v>
      </c>
      <c r="B33" t="s">
        <v>51</v>
      </c>
      <c r="C33">
        <v>4</v>
      </c>
      <c r="D33" t="s">
        <v>64</v>
      </c>
      <c r="E33" t="s">
        <v>65</v>
      </c>
      <c r="F33" t="s">
        <v>66</v>
      </c>
      <c r="G33">
        <v>0.5</v>
      </c>
      <c r="I33">
        <v>-7836.8341884811343</v>
      </c>
      <c r="J33">
        <v>-235.105025654434</v>
      </c>
      <c r="K33">
        <v>1</v>
      </c>
    </row>
    <row r="34" spans="1:11" x14ac:dyDescent="0.35">
      <c r="A34" t="s">
        <v>23</v>
      </c>
      <c r="B34" t="s">
        <v>51</v>
      </c>
      <c r="C34">
        <v>4</v>
      </c>
      <c r="D34" t="s">
        <v>67</v>
      </c>
      <c r="E34" t="s">
        <v>65</v>
      </c>
      <c r="F34" t="s">
        <v>68</v>
      </c>
      <c r="G34">
        <v>0.5</v>
      </c>
      <c r="I34">
        <v>-10621.071786545141</v>
      </c>
      <c r="J34">
        <v>-318.63215359635421</v>
      </c>
      <c r="K34">
        <v>1</v>
      </c>
    </row>
    <row r="35" spans="1:11" x14ac:dyDescent="0.35">
      <c r="A35" t="s">
        <v>23</v>
      </c>
      <c r="B35" t="s">
        <v>51</v>
      </c>
      <c r="C35">
        <v>4</v>
      </c>
      <c r="D35" t="s">
        <v>69</v>
      </c>
      <c r="E35" t="s">
        <v>65</v>
      </c>
      <c r="F35" t="s">
        <v>70</v>
      </c>
      <c r="G35">
        <v>0.5</v>
      </c>
      <c r="I35">
        <v>-12065.61451436983</v>
      </c>
      <c r="J35">
        <v>-361.96843543109492</v>
      </c>
      <c r="K35">
        <v>1</v>
      </c>
    </row>
    <row r="36" spans="1:11" x14ac:dyDescent="0.35">
      <c r="A36" t="s">
        <v>23</v>
      </c>
      <c r="B36" t="s">
        <v>51</v>
      </c>
      <c r="C36">
        <v>4</v>
      </c>
      <c r="D36" t="s">
        <v>71</v>
      </c>
      <c r="E36" t="s">
        <v>65</v>
      </c>
      <c r="F36" t="s">
        <v>72</v>
      </c>
      <c r="G36">
        <v>0.5</v>
      </c>
      <c r="I36">
        <v>-11675.19570122977</v>
      </c>
      <c r="J36">
        <v>-350.2558710368931</v>
      </c>
      <c r="K36">
        <v>1</v>
      </c>
    </row>
    <row r="37" spans="1:11" x14ac:dyDescent="0.35">
      <c r="A37" t="s">
        <v>23</v>
      </c>
      <c r="B37" t="s">
        <v>51</v>
      </c>
      <c r="C37">
        <v>4</v>
      </c>
      <c r="D37" t="s">
        <v>73</v>
      </c>
      <c r="E37" t="s">
        <v>65</v>
      </c>
      <c r="F37" t="s">
        <v>74</v>
      </c>
      <c r="G37">
        <v>0.5</v>
      </c>
      <c r="I37">
        <v>-6785.7894760550153</v>
      </c>
      <c r="J37">
        <v>-203.57368428165049</v>
      </c>
      <c r="K37">
        <v>1</v>
      </c>
    </row>
    <row r="38" spans="1:11" x14ac:dyDescent="0.35">
      <c r="A38" t="s">
        <v>23</v>
      </c>
      <c r="B38" t="s">
        <v>51</v>
      </c>
      <c r="C38">
        <v>4</v>
      </c>
      <c r="D38" t="s">
        <v>75</v>
      </c>
      <c r="E38" t="s">
        <v>76</v>
      </c>
      <c r="F38" t="s">
        <v>66</v>
      </c>
      <c r="G38">
        <v>1</v>
      </c>
      <c r="I38">
        <v>-412739.33746151673</v>
      </c>
      <c r="J38">
        <v>-12382.180123845499</v>
      </c>
      <c r="K38">
        <v>1</v>
      </c>
    </row>
    <row r="39" spans="1:11" x14ac:dyDescent="0.35">
      <c r="A39" t="s">
        <v>23</v>
      </c>
      <c r="B39" t="s">
        <v>51</v>
      </c>
      <c r="C39">
        <v>4</v>
      </c>
      <c r="D39" t="s">
        <v>77</v>
      </c>
      <c r="E39" t="s">
        <v>76</v>
      </c>
      <c r="F39" t="s">
        <v>68</v>
      </c>
      <c r="G39">
        <v>1</v>
      </c>
      <c r="I39">
        <v>-338337.6452364928</v>
      </c>
      <c r="J39">
        <v>-10150.12935709478</v>
      </c>
      <c r="K39">
        <v>1</v>
      </c>
    </row>
    <row r="40" spans="1:11" x14ac:dyDescent="0.35">
      <c r="A40" t="s">
        <v>23</v>
      </c>
      <c r="B40" t="s">
        <v>51</v>
      </c>
      <c r="C40">
        <v>4</v>
      </c>
      <c r="D40" t="s">
        <v>78</v>
      </c>
      <c r="E40" t="s">
        <v>76</v>
      </c>
      <c r="F40" t="s">
        <v>70</v>
      </c>
      <c r="G40">
        <v>1</v>
      </c>
      <c r="I40">
        <v>-74797.504875050436</v>
      </c>
      <c r="J40">
        <v>-2243.9251462515131</v>
      </c>
      <c r="K40">
        <v>1</v>
      </c>
    </row>
    <row r="41" spans="1:11" x14ac:dyDescent="0.35">
      <c r="A41" t="s">
        <v>23</v>
      </c>
      <c r="B41" t="s">
        <v>51</v>
      </c>
      <c r="C41">
        <v>4</v>
      </c>
      <c r="D41" t="s">
        <v>79</v>
      </c>
      <c r="E41" t="s">
        <v>76</v>
      </c>
      <c r="F41" t="s">
        <v>72</v>
      </c>
      <c r="G41">
        <v>1</v>
      </c>
      <c r="I41">
        <v>-882946.33738877333</v>
      </c>
      <c r="J41">
        <v>-26488.3901216632</v>
      </c>
      <c r="K41">
        <v>1</v>
      </c>
    </row>
    <row r="42" spans="1:11" x14ac:dyDescent="0.35">
      <c r="A42" t="s">
        <v>23</v>
      </c>
      <c r="B42" t="s">
        <v>51</v>
      </c>
      <c r="C42">
        <v>4</v>
      </c>
      <c r="D42" t="s">
        <v>80</v>
      </c>
      <c r="E42" t="s">
        <v>76</v>
      </c>
      <c r="F42" t="s">
        <v>74</v>
      </c>
      <c r="G42">
        <v>1</v>
      </c>
      <c r="I42">
        <v>-43054.642782010429</v>
      </c>
      <c r="J42">
        <v>-1291.639283460313</v>
      </c>
      <c r="K42">
        <v>1</v>
      </c>
    </row>
    <row r="43" spans="1:11" x14ac:dyDescent="0.35">
      <c r="A43" t="s">
        <v>23</v>
      </c>
      <c r="B43" t="s">
        <v>51</v>
      </c>
      <c r="C43">
        <v>4</v>
      </c>
      <c r="D43" t="s">
        <v>81</v>
      </c>
      <c r="E43" t="s">
        <v>82</v>
      </c>
      <c r="F43" t="s">
        <v>66</v>
      </c>
      <c r="G43">
        <v>3</v>
      </c>
      <c r="I43">
        <v>-1394010.8636126639</v>
      </c>
      <c r="J43">
        <v>-41820.325908379913</v>
      </c>
      <c r="K43">
        <v>1</v>
      </c>
    </row>
    <row r="44" spans="1:11" x14ac:dyDescent="0.35">
      <c r="A44" t="s">
        <v>23</v>
      </c>
      <c r="B44" t="s">
        <v>51</v>
      </c>
      <c r="C44">
        <v>4</v>
      </c>
      <c r="D44" t="s">
        <v>83</v>
      </c>
      <c r="E44" t="s">
        <v>82</v>
      </c>
      <c r="F44" t="s">
        <v>68</v>
      </c>
      <c r="G44">
        <v>3</v>
      </c>
      <c r="I44">
        <v>-1835805.9126348391</v>
      </c>
      <c r="J44">
        <v>-55074.17737904517</v>
      </c>
      <c r="K44">
        <v>1</v>
      </c>
    </row>
    <row r="45" spans="1:11" x14ac:dyDescent="0.35">
      <c r="A45" t="s">
        <v>23</v>
      </c>
      <c r="B45" t="s">
        <v>51</v>
      </c>
      <c r="C45">
        <v>4</v>
      </c>
      <c r="D45" t="s">
        <v>84</v>
      </c>
      <c r="E45" t="s">
        <v>82</v>
      </c>
      <c r="F45" t="s">
        <v>70</v>
      </c>
      <c r="G45">
        <v>3</v>
      </c>
      <c r="I45">
        <v>-1684920.4306511751</v>
      </c>
      <c r="J45">
        <v>-50547.612919535248</v>
      </c>
      <c r="K45">
        <v>1</v>
      </c>
    </row>
    <row r="46" spans="1:11" x14ac:dyDescent="0.35">
      <c r="A46" t="s">
        <v>23</v>
      </c>
      <c r="B46" t="s">
        <v>51</v>
      </c>
      <c r="C46">
        <v>4</v>
      </c>
      <c r="D46" t="s">
        <v>85</v>
      </c>
      <c r="E46" t="s">
        <v>82</v>
      </c>
      <c r="F46" t="s">
        <v>72</v>
      </c>
      <c r="G46">
        <v>3</v>
      </c>
      <c r="I46">
        <v>-91652.404588330683</v>
      </c>
      <c r="J46">
        <v>-2749.57213764992</v>
      </c>
      <c r="K46">
        <v>1</v>
      </c>
    </row>
    <row r="47" spans="1:11" x14ac:dyDescent="0.35">
      <c r="A47" t="s">
        <v>23</v>
      </c>
      <c r="B47" t="s">
        <v>51</v>
      </c>
      <c r="C47">
        <v>4</v>
      </c>
      <c r="D47" t="s">
        <v>86</v>
      </c>
      <c r="E47" t="s">
        <v>82</v>
      </c>
      <c r="F47" t="s">
        <v>74</v>
      </c>
      <c r="G47">
        <v>3</v>
      </c>
      <c r="I47">
        <v>-1455530.530647422</v>
      </c>
      <c r="J47">
        <v>-43665.915919422659</v>
      </c>
      <c r="K47">
        <v>1</v>
      </c>
    </row>
    <row r="48" spans="1:11" x14ac:dyDescent="0.35">
      <c r="A48" t="s">
        <v>23</v>
      </c>
      <c r="B48" t="s">
        <v>51</v>
      </c>
      <c r="C48">
        <v>4</v>
      </c>
      <c r="D48" t="s">
        <v>87</v>
      </c>
      <c r="E48" t="s">
        <v>88</v>
      </c>
      <c r="F48" t="s">
        <v>66</v>
      </c>
      <c r="G48">
        <v>5</v>
      </c>
      <c r="I48">
        <v>-36604.382581572281</v>
      </c>
      <c r="J48">
        <v>-1098.131477447168</v>
      </c>
      <c r="K48">
        <v>1</v>
      </c>
    </row>
    <row r="49" spans="1:11" x14ac:dyDescent="0.35">
      <c r="A49" t="s">
        <v>23</v>
      </c>
      <c r="B49" t="s">
        <v>51</v>
      </c>
      <c r="C49">
        <v>4</v>
      </c>
      <c r="D49" t="s">
        <v>89</v>
      </c>
      <c r="E49" t="s">
        <v>88</v>
      </c>
      <c r="F49" t="s">
        <v>70</v>
      </c>
      <c r="G49">
        <v>5</v>
      </c>
      <c r="I49">
        <v>-1093174.646000023</v>
      </c>
      <c r="J49">
        <v>-32795.23938000069</v>
      </c>
      <c r="K49">
        <v>1</v>
      </c>
    </row>
    <row r="50" spans="1:11" x14ac:dyDescent="0.35">
      <c r="A50" t="s">
        <v>23</v>
      </c>
      <c r="B50" t="s">
        <v>51</v>
      </c>
      <c r="C50">
        <v>4</v>
      </c>
      <c r="D50" t="s">
        <v>90</v>
      </c>
      <c r="E50" t="s">
        <v>88</v>
      </c>
      <c r="F50" t="s">
        <v>74</v>
      </c>
      <c r="G50">
        <v>5</v>
      </c>
      <c r="I50">
        <v>-1562899.242201865</v>
      </c>
      <c r="J50">
        <v>-46886.977266055947</v>
      </c>
      <c r="K50">
        <v>1</v>
      </c>
    </row>
    <row r="51" spans="1:11" x14ac:dyDescent="0.35">
      <c r="A51" t="s">
        <v>23</v>
      </c>
      <c r="B51" t="s">
        <v>51</v>
      </c>
      <c r="C51">
        <v>5</v>
      </c>
      <c r="D51" t="s">
        <v>91</v>
      </c>
      <c r="E51" t="s">
        <v>92</v>
      </c>
      <c r="F51" t="s">
        <v>93</v>
      </c>
      <c r="G51">
        <v>0.5</v>
      </c>
      <c r="I51">
        <v>-9614.4029377001061</v>
      </c>
      <c r="J51">
        <v>-288.43208813100318</v>
      </c>
      <c r="K51">
        <v>1</v>
      </c>
    </row>
    <row r="52" spans="1:11" x14ac:dyDescent="0.35">
      <c r="A52" t="s">
        <v>23</v>
      </c>
      <c r="B52" t="s">
        <v>51</v>
      </c>
      <c r="C52">
        <v>5</v>
      </c>
      <c r="D52" t="s">
        <v>94</v>
      </c>
      <c r="E52" t="s">
        <v>92</v>
      </c>
      <c r="F52" t="s">
        <v>95</v>
      </c>
      <c r="G52">
        <v>0.5</v>
      </c>
      <c r="I52">
        <v>-7764.2149056487142</v>
      </c>
      <c r="J52">
        <v>-232.9264471694614</v>
      </c>
      <c r="K52">
        <v>1</v>
      </c>
    </row>
    <row r="53" spans="1:11" x14ac:dyDescent="0.35">
      <c r="A53" t="s">
        <v>23</v>
      </c>
      <c r="B53" t="s">
        <v>51</v>
      </c>
      <c r="C53">
        <v>5</v>
      </c>
      <c r="D53" t="s">
        <v>96</v>
      </c>
      <c r="E53" t="s">
        <v>92</v>
      </c>
      <c r="F53" t="s">
        <v>97</v>
      </c>
      <c r="G53">
        <v>0.5</v>
      </c>
      <c r="I53">
        <v>-9781.7535162789682</v>
      </c>
      <c r="J53">
        <v>-293.45260548836899</v>
      </c>
      <c r="K53">
        <v>1</v>
      </c>
    </row>
    <row r="54" spans="1:11" x14ac:dyDescent="0.35">
      <c r="A54" t="s">
        <v>23</v>
      </c>
      <c r="B54" t="s">
        <v>51</v>
      </c>
      <c r="C54">
        <v>5</v>
      </c>
      <c r="D54" t="s">
        <v>98</v>
      </c>
      <c r="E54" t="s">
        <v>99</v>
      </c>
      <c r="F54" t="s">
        <v>93</v>
      </c>
      <c r="G54">
        <v>1</v>
      </c>
      <c r="I54">
        <v>-908617.65499420243</v>
      </c>
      <c r="J54">
        <v>-27258.529649826069</v>
      </c>
      <c r="K54">
        <v>1</v>
      </c>
    </row>
    <row r="55" spans="1:11" x14ac:dyDescent="0.35">
      <c r="A55" t="s">
        <v>23</v>
      </c>
      <c r="B55" t="s">
        <v>51</v>
      </c>
      <c r="C55">
        <v>5</v>
      </c>
      <c r="D55" t="s">
        <v>100</v>
      </c>
      <c r="E55" t="s">
        <v>99</v>
      </c>
      <c r="F55" t="s">
        <v>95</v>
      </c>
      <c r="G55">
        <v>1</v>
      </c>
      <c r="I55">
        <v>-47674.52966257224</v>
      </c>
      <c r="J55">
        <v>-1430.235889877167</v>
      </c>
      <c r="K55">
        <v>1</v>
      </c>
    </row>
    <row r="56" spans="1:11" x14ac:dyDescent="0.35">
      <c r="A56" t="s">
        <v>23</v>
      </c>
      <c r="B56" t="s">
        <v>51</v>
      </c>
      <c r="C56">
        <v>5</v>
      </c>
      <c r="D56" t="s">
        <v>101</v>
      </c>
      <c r="E56" t="s">
        <v>99</v>
      </c>
      <c r="F56" t="s">
        <v>97</v>
      </c>
      <c r="G56">
        <v>1</v>
      </c>
      <c r="I56">
        <v>-57604.98026660343</v>
      </c>
      <c r="J56">
        <v>-1728.149407998103</v>
      </c>
      <c r="K56">
        <v>1</v>
      </c>
    </row>
    <row r="57" spans="1:11" x14ac:dyDescent="0.35">
      <c r="A57" t="s">
        <v>23</v>
      </c>
      <c r="B57" t="s">
        <v>51</v>
      </c>
      <c r="C57">
        <v>5</v>
      </c>
      <c r="D57" t="s">
        <v>102</v>
      </c>
      <c r="E57" t="s">
        <v>103</v>
      </c>
      <c r="F57" t="s">
        <v>93</v>
      </c>
      <c r="G57">
        <v>3</v>
      </c>
      <c r="I57">
        <v>-389423.32989120128</v>
      </c>
      <c r="J57">
        <v>-11682.69989673604</v>
      </c>
      <c r="K57">
        <v>1</v>
      </c>
    </row>
    <row r="58" spans="1:11" x14ac:dyDescent="0.35">
      <c r="A58" t="s">
        <v>23</v>
      </c>
      <c r="B58" t="s">
        <v>51</v>
      </c>
      <c r="C58">
        <v>5</v>
      </c>
      <c r="D58" t="s">
        <v>104</v>
      </c>
      <c r="E58" t="s">
        <v>103</v>
      </c>
      <c r="F58" t="s">
        <v>95</v>
      </c>
      <c r="G58">
        <v>3</v>
      </c>
      <c r="I58">
        <v>-143895.84824232309</v>
      </c>
      <c r="J58">
        <v>-4316.8754472696928</v>
      </c>
      <c r="K58">
        <v>1</v>
      </c>
    </row>
    <row r="59" spans="1:11" x14ac:dyDescent="0.35">
      <c r="A59" t="s">
        <v>23</v>
      </c>
      <c r="B59" t="s">
        <v>51</v>
      </c>
      <c r="C59">
        <v>5</v>
      </c>
      <c r="D59" t="s">
        <v>105</v>
      </c>
      <c r="E59" t="s">
        <v>103</v>
      </c>
      <c r="F59" t="s">
        <v>97</v>
      </c>
      <c r="G59">
        <v>3</v>
      </c>
      <c r="I59">
        <v>-731293.377132772</v>
      </c>
      <c r="J59">
        <v>-21938.80131398316</v>
      </c>
      <c r="K59">
        <v>1</v>
      </c>
    </row>
    <row r="60" spans="1:11" x14ac:dyDescent="0.35">
      <c r="A60" t="s">
        <v>23</v>
      </c>
      <c r="B60" t="s">
        <v>51</v>
      </c>
      <c r="C60">
        <v>5</v>
      </c>
      <c r="D60" t="s">
        <v>106</v>
      </c>
      <c r="E60" t="s">
        <v>107</v>
      </c>
      <c r="F60" t="s">
        <v>95</v>
      </c>
      <c r="G60">
        <v>5</v>
      </c>
      <c r="I60">
        <v>-2157389.8691076459</v>
      </c>
      <c r="J60">
        <v>-64721.696073229366</v>
      </c>
      <c r="K60">
        <v>1</v>
      </c>
    </row>
    <row r="61" spans="1:11" x14ac:dyDescent="0.35">
      <c r="A61" t="s">
        <v>23</v>
      </c>
      <c r="B61" t="s">
        <v>51</v>
      </c>
      <c r="C61">
        <v>5</v>
      </c>
      <c r="D61" t="s">
        <v>108</v>
      </c>
      <c r="E61" t="s">
        <v>107</v>
      </c>
      <c r="F61" t="s">
        <v>97</v>
      </c>
      <c r="G61">
        <v>5</v>
      </c>
      <c r="I61">
        <v>-2756783.5500434511</v>
      </c>
      <c r="J61">
        <v>-82703.506501303535</v>
      </c>
      <c r="K61">
        <v>1</v>
      </c>
    </row>
    <row r="62" spans="1:11" x14ac:dyDescent="0.35">
      <c r="A62" t="s">
        <v>23</v>
      </c>
      <c r="B62" t="s">
        <v>51</v>
      </c>
      <c r="C62">
        <v>5</v>
      </c>
      <c r="D62" t="s">
        <v>109</v>
      </c>
      <c r="E62" t="s">
        <v>110</v>
      </c>
      <c r="F62" t="s">
        <v>95</v>
      </c>
      <c r="G62">
        <v>10</v>
      </c>
      <c r="I62">
        <v>-3181693.338927004</v>
      </c>
      <c r="J62">
        <v>-95450.800167810114</v>
      </c>
      <c r="K62">
        <v>1</v>
      </c>
    </row>
    <row r="63" spans="1:11" x14ac:dyDescent="0.35">
      <c r="A63" t="s">
        <v>23</v>
      </c>
      <c r="B63" t="s">
        <v>51</v>
      </c>
      <c r="C63">
        <v>6</v>
      </c>
      <c r="D63" t="s">
        <v>111</v>
      </c>
      <c r="E63" t="s">
        <v>112</v>
      </c>
      <c r="F63" t="s">
        <v>113</v>
      </c>
      <c r="G63">
        <v>0.5</v>
      </c>
      <c r="I63">
        <v>-8146.620403124416</v>
      </c>
      <c r="J63">
        <v>-162.93240806248829</v>
      </c>
      <c r="K63">
        <v>1</v>
      </c>
    </row>
    <row r="64" spans="1:11" x14ac:dyDescent="0.35">
      <c r="A64" t="s">
        <v>23</v>
      </c>
      <c r="B64" t="s">
        <v>51</v>
      </c>
      <c r="C64">
        <v>6</v>
      </c>
      <c r="D64" t="s">
        <v>114</v>
      </c>
      <c r="E64" t="s">
        <v>112</v>
      </c>
      <c r="F64" t="s">
        <v>115</v>
      </c>
      <c r="G64">
        <v>0.5</v>
      </c>
      <c r="I64">
        <v>-6594.5181987103751</v>
      </c>
      <c r="J64">
        <v>-131.8903639742075</v>
      </c>
      <c r="K64">
        <v>1</v>
      </c>
    </row>
    <row r="65" spans="1:11" x14ac:dyDescent="0.35">
      <c r="A65" t="s">
        <v>23</v>
      </c>
      <c r="B65" t="s">
        <v>51</v>
      </c>
      <c r="C65">
        <v>6</v>
      </c>
      <c r="D65" t="s">
        <v>116</v>
      </c>
      <c r="E65" t="s">
        <v>112</v>
      </c>
      <c r="F65" t="s">
        <v>117</v>
      </c>
      <c r="G65">
        <v>0.5</v>
      </c>
      <c r="I65">
        <v>-19793.25489037365</v>
      </c>
      <c r="J65">
        <v>-395.86509780747298</v>
      </c>
      <c r="K65">
        <v>1</v>
      </c>
    </row>
    <row r="66" spans="1:11" x14ac:dyDescent="0.35">
      <c r="A66" t="s">
        <v>23</v>
      </c>
      <c r="B66" t="s">
        <v>51</v>
      </c>
      <c r="C66">
        <v>6</v>
      </c>
      <c r="D66" t="s">
        <v>118</v>
      </c>
      <c r="E66" t="s">
        <v>112</v>
      </c>
      <c r="F66" t="s">
        <v>119</v>
      </c>
      <c r="G66">
        <v>0.5</v>
      </c>
      <c r="I66">
        <v>-7103.0333227781739</v>
      </c>
      <c r="J66">
        <v>-142.06066645556351</v>
      </c>
      <c r="K66">
        <v>1</v>
      </c>
    </row>
    <row r="67" spans="1:11" x14ac:dyDescent="0.35">
      <c r="A67" t="s">
        <v>23</v>
      </c>
      <c r="B67" t="s">
        <v>51</v>
      </c>
      <c r="C67">
        <v>6</v>
      </c>
      <c r="D67" t="s">
        <v>120</v>
      </c>
      <c r="E67" t="s">
        <v>112</v>
      </c>
      <c r="F67" t="s">
        <v>121</v>
      </c>
      <c r="G67">
        <v>0.5</v>
      </c>
      <c r="I67">
        <v>-10123.95090299378</v>
      </c>
      <c r="J67">
        <v>-202.47901805987561</v>
      </c>
      <c r="K67">
        <v>1</v>
      </c>
    </row>
    <row r="68" spans="1:11" x14ac:dyDescent="0.35">
      <c r="A68" t="s">
        <v>23</v>
      </c>
      <c r="B68" t="s">
        <v>51</v>
      </c>
      <c r="C68">
        <v>6</v>
      </c>
      <c r="D68" t="s">
        <v>122</v>
      </c>
      <c r="E68" t="s">
        <v>112</v>
      </c>
      <c r="F68" t="s">
        <v>123</v>
      </c>
      <c r="G68">
        <v>0.5</v>
      </c>
      <c r="I68">
        <v>-19662.252617536069</v>
      </c>
      <c r="J68">
        <v>-393.24505235072138</v>
      </c>
      <c r="K68">
        <v>1</v>
      </c>
    </row>
    <row r="69" spans="1:11" x14ac:dyDescent="0.35">
      <c r="A69" t="s">
        <v>23</v>
      </c>
      <c r="B69" t="s">
        <v>51</v>
      </c>
      <c r="C69">
        <v>6</v>
      </c>
      <c r="D69" t="s">
        <v>124</v>
      </c>
      <c r="E69" t="s">
        <v>125</v>
      </c>
      <c r="F69" t="s">
        <v>113</v>
      </c>
      <c r="G69">
        <v>1</v>
      </c>
      <c r="I69">
        <v>-888111.68508743774</v>
      </c>
      <c r="J69">
        <v>-17762.233701748759</v>
      </c>
      <c r="K69">
        <v>1</v>
      </c>
    </row>
    <row r="70" spans="1:11" x14ac:dyDescent="0.35">
      <c r="A70" t="s">
        <v>23</v>
      </c>
      <c r="B70" t="s">
        <v>51</v>
      </c>
      <c r="C70">
        <v>6</v>
      </c>
      <c r="D70" t="s">
        <v>126</v>
      </c>
      <c r="E70" t="s">
        <v>125</v>
      </c>
      <c r="F70" t="s">
        <v>115</v>
      </c>
      <c r="G70">
        <v>1</v>
      </c>
      <c r="I70">
        <v>-799235.8235538858</v>
      </c>
      <c r="J70">
        <v>-15984.71647107772</v>
      </c>
      <c r="K70">
        <v>1</v>
      </c>
    </row>
    <row r="71" spans="1:11" x14ac:dyDescent="0.35">
      <c r="A71" t="s">
        <v>23</v>
      </c>
      <c r="B71" t="s">
        <v>51</v>
      </c>
      <c r="C71">
        <v>6</v>
      </c>
      <c r="D71" t="s">
        <v>127</v>
      </c>
      <c r="E71" t="s">
        <v>125</v>
      </c>
      <c r="F71" t="s">
        <v>117</v>
      </c>
      <c r="G71">
        <v>1</v>
      </c>
      <c r="I71">
        <v>-113659.16121746979</v>
      </c>
      <c r="J71">
        <v>-2273.1832243493959</v>
      </c>
      <c r="K71">
        <v>1</v>
      </c>
    </row>
    <row r="72" spans="1:11" x14ac:dyDescent="0.35">
      <c r="A72" t="s">
        <v>23</v>
      </c>
      <c r="B72" t="s">
        <v>51</v>
      </c>
      <c r="C72">
        <v>6</v>
      </c>
      <c r="D72" t="s">
        <v>128</v>
      </c>
      <c r="E72" t="s">
        <v>125</v>
      </c>
      <c r="F72" t="s">
        <v>119</v>
      </c>
      <c r="G72">
        <v>1</v>
      </c>
      <c r="I72">
        <v>-229712.20887109209</v>
      </c>
      <c r="J72">
        <v>-4594.2441774218423</v>
      </c>
      <c r="K72">
        <v>1</v>
      </c>
    </row>
    <row r="73" spans="1:11" x14ac:dyDescent="0.35">
      <c r="A73" t="s">
        <v>23</v>
      </c>
      <c r="B73" t="s">
        <v>51</v>
      </c>
      <c r="C73">
        <v>6</v>
      </c>
      <c r="D73" t="s">
        <v>129</v>
      </c>
      <c r="E73" t="s">
        <v>125</v>
      </c>
      <c r="F73" t="s">
        <v>121</v>
      </c>
      <c r="G73">
        <v>1</v>
      </c>
      <c r="I73">
        <v>-67617.448430269171</v>
      </c>
      <c r="J73">
        <v>-1352.3489686053831</v>
      </c>
      <c r="K73">
        <v>1</v>
      </c>
    </row>
    <row r="74" spans="1:11" x14ac:dyDescent="0.35">
      <c r="A74" t="s">
        <v>23</v>
      </c>
      <c r="B74" t="s">
        <v>51</v>
      </c>
      <c r="C74">
        <v>6</v>
      </c>
      <c r="D74" t="s">
        <v>130</v>
      </c>
      <c r="E74" t="s">
        <v>125</v>
      </c>
      <c r="F74" t="s">
        <v>123</v>
      </c>
      <c r="G74">
        <v>1</v>
      </c>
      <c r="I74">
        <v>-113873.41703107271</v>
      </c>
      <c r="J74">
        <v>-2277.468340621454</v>
      </c>
      <c r="K74">
        <v>1</v>
      </c>
    </row>
    <row r="75" spans="1:11" x14ac:dyDescent="0.35">
      <c r="A75" t="s">
        <v>23</v>
      </c>
      <c r="B75" t="s">
        <v>51</v>
      </c>
      <c r="C75">
        <v>6</v>
      </c>
      <c r="D75" t="s">
        <v>131</v>
      </c>
      <c r="E75" t="s">
        <v>132</v>
      </c>
      <c r="F75" t="s">
        <v>113</v>
      </c>
      <c r="G75">
        <v>3</v>
      </c>
      <c r="I75">
        <v>-124200.59803821459</v>
      </c>
      <c r="J75">
        <v>-2484.0119607642919</v>
      </c>
      <c r="K75">
        <v>1</v>
      </c>
    </row>
    <row r="76" spans="1:11" x14ac:dyDescent="0.35">
      <c r="A76" t="s">
        <v>23</v>
      </c>
      <c r="B76" t="s">
        <v>51</v>
      </c>
      <c r="C76">
        <v>6</v>
      </c>
      <c r="D76" t="s">
        <v>133</v>
      </c>
      <c r="E76" t="s">
        <v>132</v>
      </c>
      <c r="F76" t="s">
        <v>115</v>
      </c>
      <c r="G76">
        <v>3</v>
      </c>
      <c r="I76">
        <v>-816485.70841826987</v>
      </c>
      <c r="J76">
        <v>-16329.714168365401</v>
      </c>
      <c r="K76">
        <v>1</v>
      </c>
    </row>
    <row r="77" spans="1:11" x14ac:dyDescent="0.35">
      <c r="A77" t="s">
        <v>23</v>
      </c>
      <c r="B77" t="s">
        <v>51</v>
      </c>
      <c r="C77">
        <v>6</v>
      </c>
      <c r="D77" t="s">
        <v>134</v>
      </c>
      <c r="E77" t="s">
        <v>132</v>
      </c>
      <c r="F77" t="s">
        <v>117</v>
      </c>
      <c r="G77">
        <v>3</v>
      </c>
      <c r="I77">
        <v>-1897688.008100545</v>
      </c>
      <c r="J77">
        <v>-37953.760162010898</v>
      </c>
      <c r="K77">
        <v>1</v>
      </c>
    </row>
    <row r="78" spans="1:11" x14ac:dyDescent="0.35">
      <c r="A78" t="s">
        <v>23</v>
      </c>
      <c r="B78" t="s">
        <v>51</v>
      </c>
      <c r="C78">
        <v>6</v>
      </c>
      <c r="D78" t="s">
        <v>135</v>
      </c>
      <c r="E78" t="s">
        <v>132</v>
      </c>
      <c r="F78" t="s">
        <v>119</v>
      </c>
      <c r="G78">
        <v>3</v>
      </c>
      <c r="I78">
        <v>-1957948.808951016</v>
      </c>
      <c r="J78">
        <v>-39158.976179020319</v>
      </c>
      <c r="K78">
        <v>1</v>
      </c>
    </row>
    <row r="79" spans="1:11" x14ac:dyDescent="0.35">
      <c r="A79" t="s">
        <v>23</v>
      </c>
      <c r="B79" t="s">
        <v>51</v>
      </c>
      <c r="C79">
        <v>6</v>
      </c>
      <c r="D79" t="s">
        <v>136</v>
      </c>
      <c r="E79" t="s">
        <v>132</v>
      </c>
      <c r="F79" t="s">
        <v>121</v>
      </c>
      <c r="G79">
        <v>3</v>
      </c>
      <c r="I79">
        <v>-2078143.8373113021</v>
      </c>
      <c r="J79">
        <v>-41562.876746226037</v>
      </c>
      <c r="K79">
        <v>1</v>
      </c>
    </row>
    <row r="80" spans="1:11" x14ac:dyDescent="0.35">
      <c r="A80" t="s">
        <v>23</v>
      </c>
      <c r="B80" t="s">
        <v>51</v>
      </c>
      <c r="C80">
        <v>6</v>
      </c>
      <c r="D80" t="s">
        <v>137</v>
      </c>
      <c r="E80" t="s">
        <v>132</v>
      </c>
      <c r="F80" t="s">
        <v>123</v>
      </c>
      <c r="G80">
        <v>3</v>
      </c>
      <c r="I80">
        <v>-2233290.285596808</v>
      </c>
      <c r="J80">
        <v>-44665.805711936162</v>
      </c>
      <c r="K80">
        <v>1</v>
      </c>
    </row>
    <row r="81" spans="1:11" x14ac:dyDescent="0.35">
      <c r="A81" t="s">
        <v>23</v>
      </c>
      <c r="B81" t="s">
        <v>51</v>
      </c>
      <c r="C81">
        <v>6</v>
      </c>
      <c r="D81" t="s">
        <v>138</v>
      </c>
      <c r="E81" t="s">
        <v>139</v>
      </c>
      <c r="F81" t="s">
        <v>117</v>
      </c>
      <c r="G81">
        <v>5</v>
      </c>
      <c r="I81">
        <v>-1108651.8222960529</v>
      </c>
      <c r="J81">
        <v>-22173.036445921061</v>
      </c>
      <c r="K81">
        <v>1</v>
      </c>
    </row>
    <row r="82" spans="1:11" x14ac:dyDescent="0.35">
      <c r="A82" t="s">
        <v>23</v>
      </c>
      <c r="B82" t="s">
        <v>51</v>
      </c>
      <c r="C82">
        <v>6</v>
      </c>
      <c r="D82" t="s">
        <v>140</v>
      </c>
      <c r="E82" t="s">
        <v>139</v>
      </c>
      <c r="F82" t="s">
        <v>121</v>
      </c>
      <c r="G82">
        <v>5</v>
      </c>
      <c r="I82">
        <v>-580033.52851153514</v>
      </c>
      <c r="J82">
        <v>-11600.670570230701</v>
      </c>
      <c r="K82">
        <v>1</v>
      </c>
    </row>
    <row r="83" spans="1:11" x14ac:dyDescent="0.35">
      <c r="A83" t="s">
        <v>23</v>
      </c>
      <c r="B83" t="s">
        <v>51</v>
      </c>
      <c r="C83">
        <v>6</v>
      </c>
      <c r="D83" t="s">
        <v>141</v>
      </c>
      <c r="E83" t="s">
        <v>139</v>
      </c>
      <c r="F83" t="s">
        <v>123</v>
      </c>
      <c r="G83">
        <v>5</v>
      </c>
      <c r="I83">
        <v>-397260.16844389267</v>
      </c>
      <c r="J83">
        <v>-7945.2033688778538</v>
      </c>
      <c r="K83">
        <v>1</v>
      </c>
    </row>
    <row r="84" spans="1:11" x14ac:dyDescent="0.35">
      <c r="A84" t="s">
        <v>23</v>
      </c>
      <c r="B84" t="s">
        <v>51</v>
      </c>
      <c r="C84">
        <v>7</v>
      </c>
      <c r="D84" t="s">
        <v>142</v>
      </c>
      <c r="E84" t="s">
        <v>143</v>
      </c>
      <c r="F84" t="s">
        <v>144</v>
      </c>
      <c r="G84">
        <v>0.5</v>
      </c>
      <c r="I84">
        <v>-10934.518205658611</v>
      </c>
      <c r="J84">
        <v>-164.0177730848792</v>
      </c>
      <c r="K84">
        <v>1</v>
      </c>
    </row>
    <row r="85" spans="1:11" x14ac:dyDescent="0.35">
      <c r="A85" t="s">
        <v>23</v>
      </c>
      <c r="B85" t="s">
        <v>51</v>
      </c>
      <c r="C85">
        <v>7</v>
      </c>
      <c r="D85" t="s">
        <v>145</v>
      </c>
      <c r="E85" t="s">
        <v>143</v>
      </c>
      <c r="F85" t="s">
        <v>146</v>
      </c>
      <c r="G85">
        <v>0.5</v>
      </c>
      <c r="I85">
        <v>-94183.114757584</v>
      </c>
      <c r="J85">
        <v>-1412.7467213637599</v>
      </c>
      <c r="K85">
        <v>1</v>
      </c>
    </row>
    <row r="86" spans="1:11" x14ac:dyDescent="0.35">
      <c r="A86" t="s">
        <v>23</v>
      </c>
      <c r="B86" t="s">
        <v>51</v>
      </c>
      <c r="C86">
        <v>7</v>
      </c>
      <c r="D86" t="s">
        <v>147</v>
      </c>
      <c r="E86" t="s">
        <v>143</v>
      </c>
      <c r="F86" t="s">
        <v>148</v>
      </c>
      <c r="G86">
        <v>0.5</v>
      </c>
      <c r="I86">
        <v>-6949.400519658866</v>
      </c>
      <c r="J86">
        <v>-104.241007794883</v>
      </c>
      <c r="K86">
        <v>1</v>
      </c>
    </row>
    <row r="87" spans="1:11" x14ac:dyDescent="0.35">
      <c r="A87" t="s">
        <v>23</v>
      </c>
      <c r="B87" t="s">
        <v>51</v>
      </c>
      <c r="C87">
        <v>7</v>
      </c>
      <c r="D87" t="s">
        <v>149</v>
      </c>
      <c r="E87" t="s">
        <v>150</v>
      </c>
      <c r="F87" t="s">
        <v>144</v>
      </c>
      <c r="G87">
        <v>1</v>
      </c>
      <c r="I87">
        <v>-67777.738289521498</v>
      </c>
      <c r="J87">
        <v>-1016.666074342822</v>
      </c>
      <c r="K87">
        <v>1</v>
      </c>
    </row>
    <row r="88" spans="1:11" x14ac:dyDescent="0.35">
      <c r="A88" t="s">
        <v>23</v>
      </c>
      <c r="B88" t="s">
        <v>51</v>
      </c>
      <c r="C88">
        <v>7</v>
      </c>
      <c r="D88" t="s">
        <v>151</v>
      </c>
      <c r="E88" t="s">
        <v>150</v>
      </c>
      <c r="F88" t="s">
        <v>146</v>
      </c>
      <c r="G88">
        <v>1</v>
      </c>
      <c r="I88">
        <v>-678865.96610134118</v>
      </c>
      <c r="J88">
        <v>-10182.98949152012</v>
      </c>
      <c r="K88">
        <v>1</v>
      </c>
    </row>
    <row r="89" spans="1:11" x14ac:dyDescent="0.35">
      <c r="A89" t="s">
        <v>23</v>
      </c>
      <c r="B89" t="s">
        <v>51</v>
      </c>
      <c r="C89">
        <v>7</v>
      </c>
      <c r="D89" t="s">
        <v>152</v>
      </c>
      <c r="E89" t="s">
        <v>150</v>
      </c>
      <c r="F89" t="s">
        <v>148</v>
      </c>
      <c r="G89">
        <v>1</v>
      </c>
      <c r="I89">
        <v>-901888.85305667552</v>
      </c>
      <c r="J89">
        <v>-13528.33279585013</v>
      </c>
      <c r="K89">
        <v>1</v>
      </c>
    </row>
    <row r="90" spans="1:11" x14ac:dyDescent="0.35">
      <c r="A90" t="s">
        <v>23</v>
      </c>
      <c r="B90" t="s">
        <v>51</v>
      </c>
      <c r="C90">
        <v>7</v>
      </c>
      <c r="D90" t="s">
        <v>153</v>
      </c>
      <c r="E90" t="s">
        <v>154</v>
      </c>
      <c r="F90" t="s">
        <v>144</v>
      </c>
      <c r="G90">
        <v>3</v>
      </c>
      <c r="I90">
        <v>-1204518.6606841299</v>
      </c>
      <c r="J90">
        <v>-18067.77991026195</v>
      </c>
      <c r="K90">
        <v>1</v>
      </c>
    </row>
    <row r="91" spans="1:11" x14ac:dyDescent="0.35">
      <c r="A91" t="s">
        <v>23</v>
      </c>
      <c r="B91" t="s">
        <v>51</v>
      </c>
      <c r="C91">
        <v>7</v>
      </c>
      <c r="D91" t="s">
        <v>155</v>
      </c>
      <c r="E91" t="s">
        <v>154</v>
      </c>
      <c r="F91" t="s">
        <v>148</v>
      </c>
      <c r="G91">
        <v>3</v>
      </c>
      <c r="I91">
        <v>-376359.97179052082</v>
      </c>
      <c r="J91">
        <v>-5645.3995768578116</v>
      </c>
      <c r="K91">
        <v>1</v>
      </c>
    </row>
    <row r="92" spans="1:11" x14ac:dyDescent="0.35">
      <c r="A92" t="s">
        <v>23</v>
      </c>
      <c r="B92" t="s">
        <v>51</v>
      </c>
      <c r="C92">
        <v>7</v>
      </c>
      <c r="D92" t="s">
        <v>156</v>
      </c>
      <c r="E92" t="s">
        <v>157</v>
      </c>
      <c r="F92" t="s">
        <v>144</v>
      </c>
      <c r="G92">
        <v>5</v>
      </c>
      <c r="I92">
        <v>-2077793.9724511041</v>
      </c>
      <c r="J92">
        <v>-31166.90958676656</v>
      </c>
      <c r="K92">
        <v>1</v>
      </c>
    </row>
    <row r="93" spans="1:11" x14ac:dyDescent="0.35">
      <c r="A93" t="s">
        <v>23</v>
      </c>
      <c r="B93" t="s">
        <v>158</v>
      </c>
      <c r="C93">
        <v>1</v>
      </c>
      <c r="D93" t="s">
        <v>159</v>
      </c>
      <c r="E93" t="s">
        <v>160</v>
      </c>
      <c r="F93" t="s">
        <v>161</v>
      </c>
      <c r="G93">
        <v>0.5</v>
      </c>
      <c r="I93">
        <v>-1104389.242455363</v>
      </c>
      <c r="J93">
        <v>-9939.5031820982658</v>
      </c>
      <c r="K93">
        <v>1</v>
      </c>
    </row>
    <row r="94" spans="1:11" x14ac:dyDescent="0.35">
      <c r="A94" t="s">
        <v>23</v>
      </c>
      <c r="B94" t="s">
        <v>158</v>
      </c>
      <c r="C94">
        <v>1</v>
      </c>
      <c r="D94" t="s">
        <v>162</v>
      </c>
      <c r="E94" t="s">
        <v>163</v>
      </c>
      <c r="F94" t="s">
        <v>161</v>
      </c>
      <c r="G94">
        <v>1</v>
      </c>
      <c r="I94">
        <v>-11181740.66208303</v>
      </c>
      <c r="J94">
        <v>-100635.6659587473</v>
      </c>
      <c r="K94">
        <v>1</v>
      </c>
    </row>
    <row r="95" spans="1:11" x14ac:dyDescent="0.35">
      <c r="A95" t="s">
        <v>23</v>
      </c>
      <c r="B95" t="s">
        <v>158</v>
      </c>
      <c r="C95">
        <v>1</v>
      </c>
      <c r="D95" t="s">
        <v>164</v>
      </c>
      <c r="E95" t="s">
        <v>165</v>
      </c>
      <c r="F95" t="s">
        <v>161</v>
      </c>
      <c r="G95">
        <v>3</v>
      </c>
      <c r="I95">
        <v>-81814499.418884516</v>
      </c>
      <c r="J95">
        <v>-736330.49476996064</v>
      </c>
      <c r="K95">
        <v>1</v>
      </c>
    </row>
    <row r="96" spans="1:11" x14ac:dyDescent="0.35">
      <c r="A96" t="s">
        <v>23</v>
      </c>
      <c r="B96" t="s">
        <v>158</v>
      </c>
      <c r="C96">
        <v>4</v>
      </c>
      <c r="D96" t="s">
        <v>166</v>
      </c>
      <c r="E96" t="s">
        <v>167</v>
      </c>
      <c r="F96" t="s">
        <v>168</v>
      </c>
      <c r="G96">
        <v>0.5</v>
      </c>
      <c r="I96">
        <v>-955700.35547018051</v>
      </c>
      <c r="J96">
        <v>-19114.00710940361</v>
      </c>
      <c r="K96">
        <v>1</v>
      </c>
    </row>
    <row r="97" spans="1:11" x14ac:dyDescent="0.35">
      <c r="A97" t="s">
        <v>23</v>
      </c>
      <c r="B97" t="s">
        <v>158</v>
      </c>
      <c r="C97">
        <v>4</v>
      </c>
      <c r="D97" t="s">
        <v>169</v>
      </c>
      <c r="E97" t="s">
        <v>167</v>
      </c>
      <c r="F97" t="s">
        <v>170</v>
      </c>
      <c r="G97">
        <v>0.5</v>
      </c>
      <c r="I97">
        <v>-76136.686708778143</v>
      </c>
      <c r="J97">
        <v>-1522.7337341755631</v>
      </c>
      <c r="K97">
        <v>1</v>
      </c>
    </row>
    <row r="98" spans="1:11" x14ac:dyDescent="0.35">
      <c r="A98" t="s">
        <v>23</v>
      </c>
      <c r="B98" t="s">
        <v>158</v>
      </c>
      <c r="C98">
        <v>4</v>
      </c>
      <c r="D98" t="s">
        <v>171</v>
      </c>
      <c r="E98" t="s">
        <v>172</v>
      </c>
      <c r="F98" t="s">
        <v>168</v>
      </c>
      <c r="G98">
        <v>1</v>
      </c>
      <c r="I98">
        <v>-6781109.8454892635</v>
      </c>
      <c r="J98">
        <v>-135622.1969097853</v>
      </c>
      <c r="K98">
        <v>1</v>
      </c>
    </row>
    <row r="99" spans="1:11" x14ac:dyDescent="0.35">
      <c r="A99" t="s">
        <v>23</v>
      </c>
      <c r="B99" t="s">
        <v>158</v>
      </c>
      <c r="C99">
        <v>4</v>
      </c>
      <c r="D99" t="s">
        <v>173</v>
      </c>
      <c r="E99" t="s">
        <v>172</v>
      </c>
      <c r="F99" t="s">
        <v>170</v>
      </c>
      <c r="G99">
        <v>1</v>
      </c>
      <c r="I99">
        <v>-535503.33256833255</v>
      </c>
      <c r="J99">
        <v>-10710.066651366649</v>
      </c>
      <c r="K99">
        <v>1</v>
      </c>
    </row>
    <row r="100" spans="1:11" x14ac:dyDescent="0.35">
      <c r="A100" t="s">
        <v>23</v>
      </c>
      <c r="B100" t="s">
        <v>158</v>
      </c>
      <c r="C100">
        <v>4</v>
      </c>
      <c r="D100" t="s">
        <v>174</v>
      </c>
      <c r="E100" t="s">
        <v>175</v>
      </c>
      <c r="F100" t="s">
        <v>168</v>
      </c>
      <c r="G100">
        <v>3</v>
      </c>
      <c r="I100">
        <v>-20118222.523331638</v>
      </c>
      <c r="J100">
        <v>-402364.45046663278</v>
      </c>
      <c r="K100">
        <v>1</v>
      </c>
    </row>
    <row r="101" spans="1:11" x14ac:dyDescent="0.35">
      <c r="A101" t="s">
        <v>23</v>
      </c>
      <c r="B101" t="s">
        <v>158</v>
      </c>
      <c r="C101">
        <v>4</v>
      </c>
      <c r="D101" t="s">
        <v>176</v>
      </c>
      <c r="E101" t="s">
        <v>175</v>
      </c>
      <c r="F101" t="s">
        <v>170</v>
      </c>
      <c r="G101">
        <v>3</v>
      </c>
      <c r="I101">
        <v>-1567878.5666357731</v>
      </c>
      <c r="J101">
        <v>-31357.571332715459</v>
      </c>
      <c r="K101">
        <v>1</v>
      </c>
    </row>
    <row r="102" spans="1:11" x14ac:dyDescent="0.35">
      <c r="A102" t="s">
        <v>23</v>
      </c>
      <c r="B102" t="s">
        <v>158</v>
      </c>
      <c r="C102">
        <v>4</v>
      </c>
      <c r="D102" t="s">
        <v>177</v>
      </c>
      <c r="E102" t="s">
        <v>178</v>
      </c>
      <c r="F102" t="s">
        <v>168</v>
      </c>
      <c r="G102">
        <v>5</v>
      </c>
      <c r="I102">
        <v>-224373919.08884051</v>
      </c>
      <c r="J102">
        <v>-4487478.3817768106</v>
      </c>
      <c r="K102">
        <v>1</v>
      </c>
    </row>
    <row r="103" spans="1:11" x14ac:dyDescent="0.35">
      <c r="A103" t="s">
        <v>23</v>
      </c>
      <c r="B103" t="s">
        <v>158</v>
      </c>
      <c r="C103">
        <v>4</v>
      </c>
      <c r="D103" t="s">
        <v>179</v>
      </c>
      <c r="E103" t="s">
        <v>178</v>
      </c>
      <c r="F103" t="s">
        <v>170</v>
      </c>
      <c r="G103">
        <v>5</v>
      </c>
      <c r="I103">
        <v>-16704108.947739011</v>
      </c>
      <c r="J103">
        <v>-334082.17895478022</v>
      </c>
      <c r="K103">
        <v>1</v>
      </c>
    </row>
    <row r="104" spans="1:11" x14ac:dyDescent="0.35">
      <c r="A104" t="s">
        <v>23</v>
      </c>
      <c r="B104" t="s">
        <v>158</v>
      </c>
      <c r="C104">
        <v>4</v>
      </c>
      <c r="D104" t="s">
        <v>180</v>
      </c>
      <c r="E104" t="s">
        <v>181</v>
      </c>
      <c r="F104" t="s">
        <v>168</v>
      </c>
      <c r="G104">
        <v>10</v>
      </c>
      <c r="I104">
        <v>-384148289.91398221</v>
      </c>
      <c r="J104">
        <v>-7682965.798279644</v>
      </c>
      <c r="K104">
        <v>1</v>
      </c>
    </row>
    <row r="105" spans="1:11" x14ac:dyDescent="0.35">
      <c r="A105" t="s">
        <v>23</v>
      </c>
      <c r="B105" t="s">
        <v>158</v>
      </c>
      <c r="C105">
        <v>4</v>
      </c>
      <c r="D105" t="s">
        <v>182</v>
      </c>
      <c r="E105" t="s">
        <v>181</v>
      </c>
      <c r="F105" t="s">
        <v>170</v>
      </c>
      <c r="G105">
        <v>10</v>
      </c>
      <c r="I105">
        <v>-28445049.339272082</v>
      </c>
      <c r="J105">
        <v>-568900.98678544164</v>
      </c>
      <c r="K105">
        <v>1</v>
      </c>
    </row>
    <row r="106" spans="1:11" x14ac:dyDescent="0.35">
      <c r="A106" t="s">
        <v>23</v>
      </c>
      <c r="B106" t="s">
        <v>158</v>
      </c>
      <c r="C106">
        <v>6</v>
      </c>
      <c r="D106" t="s">
        <v>183</v>
      </c>
      <c r="E106" t="s">
        <v>184</v>
      </c>
      <c r="F106" t="s">
        <v>185</v>
      </c>
      <c r="G106">
        <v>0.5</v>
      </c>
      <c r="I106">
        <v>-134526385.64407831</v>
      </c>
      <c r="J106">
        <v>-1614316.62772894</v>
      </c>
      <c r="K106">
        <v>1</v>
      </c>
    </row>
    <row r="107" spans="1:11" x14ac:dyDescent="0.35">
      <c r="A107" t="s">
        <v>23</v>
      </c>
      <c r="B107" t="s">
        <v>158</v>
      </c>
      <c r="C107">
        <v>6</v>
      </c>
      <c r="D107" t="s">
        <v>186</v>
      </c>
      <c r="E107" t="s">
        <v>184</v>
      </c>
      <c r="F107" t="s">
        <v>187</v>
      </c>
      <c r="G107">
        <v>0.5</v>
      </c>
      <c r="I107">
        <v>-1438243.7369227409</v>
      </c>
      <c r="J107">
        <v>-17258.924843072891</v>
      </c>
      <c r="K107">
        <v>1</v>
      </c>
    </row>
    <row r="108" spans="1:11" x14ac:dyDescent="0.35">
      <c r="A108" t="s">
        <v>23</v>
      </c>
      <c r="B108" t="s">
        <v>158</v>
      </c>
      <c r="C108">
        <v>6</v>
      </c>
      <c r="D108" t="s">
        <v>188</v>
      </c>
      <c r="E108" t="s">
        <v>189</v>
      </c>
      <c r="F108" t="s">
        <v>185</v>
      </c>
      <c r="G108">
        <v>1</v>
      </c>
      <c r="I108">
        <v>-57353694.567084312</v>
      </c>
      <c r="J108">
        <v>-688244.33480501175</v>
      </c>
      <c r="K108">
        <v>1</v>
      </c>
    </row>
    <row r="109" spans="1:11" x14ac:dyDescent="0.35">
      <c r="A109" t="s">
        <v>23</v>
      </c>
      <c r="B109" t="s">
        <v>158</v>
      </c>
      <c r="C109">
        <v>6</v>
      </c>
      <c r="D109" t="s">
        <v>190</v>
      </c>
      <c r="E109" t="s">
        <v>189</v>
      </c>
      <c r="F109" t="s">
        <v>187</v>
      </c>
      <c r="G109">
        <v>1</v>
      </c>
      <c r="I109">
        <v>-59326061.504781254</v>
      </c>
      <c r="J109">
        <v>-711912.73805737507</v>
      </c>
      <c r="K109">
        <v>1</v>
      </c>
    </row>
    <row r="110" spans="1:11" x14ac:dyDescent="0.35">
      <c r="A110" t="s">
        <v>23</v>
      </c>
      <c r="B110" t="s">
        <v>158</v>
      </c>
      <c r="C110">
        <v>6</v>
      </c>
      <c r="D110" t="s">
        <v>191</v>
      </c>
      <c r="E110" t="s">
        <v>192</v>
      </c>
      <c r="F110" t="s">
        <v>187</v>
      </c>
      <c r="G110">
        <v>3</v>
      </c>
      <c r="I110">
        <v>-320617239.07917738</v>
      </c>
      <c r="J110">
        <v>-3847406.868950129</v>
      </c>
      <c r="K110">
        <v>1</v>
      </c>
    </row>
    <row r="111" spans="1:11" x14ac:dyDescent="0.35">
      <c r="A111" t="s">
        <v>23</v>
      </c>
      <c r="B111" t="s">
        <v>158</v>
      </c>
      <c r="C111">
        <v>6</v>
      </c>
      <c r="D111" t="s">
        <v>193</v>
      </c>
      <c r="E111" t="s">
        <v>194</v>
      </c>
      <c r="F111" t="s">
        <v>187</v>
      </c>
      <c r="G111">
        <v>5</v>
      </c>
      <c r="I111">
        <v>-5501626.9865632057</v>
      </c>
      <c r="J111">
        <v>-66019.523838758469</v>
      </c>
      <c r="K111">
        <v>1</v>
      </c>
    </row>
    <row r="112" spans="1:11" x14ac:dyDescent="0.35">
      <c r="A112" t="s">
        <v>23</v>
      </c>
      <c r="B112" t="s">
        <v>158</v>
      </c>
      <c r="C112">
        <v>7</v>
      </c>
      <c r="D112" t="s">
        <v>195</v>
      </c>
      <c r="E112" t="s">
        <v>196</v>
      </c>
      <c r="F112" t="s">
        <v>197</v>
      </c>
      <c r="G112">
        <v>0.5</v>
      </c>
      <c r="I112">
        <v>-4130147.2543925052</v>
      </c>
      <c r="J112">
        <v>-49561.767052710064</v>
      </c>
      <c r="K112">
        <v>1</v>
      </c>
    </row>
    <row r="113" spans="1:11" x14ac:dyDescent="0.35">
      <c r="A113" t="s">
        <v>23</v>
      </c>
      <c r="B113" t="s">
        <v>158</v>
      </c>
      <c r="C113">
        <v>7</v>
      </c>
      <c r="D113" t="s">
        <v>198</v>
      </c>
      <c r="E113" t="s">
        <v>199</v>
      </c>
      <c r="F113" t="s">
        <v>197</v>
      </c>
      <c r="G113">
        <v>1</v>
      </c>
      <c r="I113">
        <v>-28554907.611384992</v>
      </c>
      <c r="J113">
        <v>-342658.89133661991</v>
      </c>
      <c r="K113">
        <v>1</v>
      </c>
    </row>
    <row r="114" spans="1:11" x14ac:dyDescent="0.35">
      <c r="A114" t="s">
        <v>23</v>
      </c>
      <c r="B114" t="s">
        <v>158</v>
      </c>
      <c r="C114">
        <v>7</v>
      </c>
      <c r="D114" t="s">
        <v>200</v>
      </c>
      <c r="E114" t="s">
        <v>201</v>
      </c>
      <c r="F114" t="s">
        <v>197</v>
      </c>
      <c r="G114">
        <v>3</v>
      </c>
      <c r="I114">
        <v>-53451129.142269492</v>
      </c>
      <c r="J114">
        <v>-641413.54970723391</v>
      </c>
      <c r="K114">
        <v>1</v>
      </c>
    </row>
    <row r="115" spans="1:11" x14ac:dyDescent="0.35">
      <c r="A115" t="s">
        <v>23</v>
      </c>
      <c r="B115" t="s">
        <v>158</v>
      </c>
      <c r="C115">
        <v>7</v>
      </c>
      <c r="D115" t="s">
        <v>202</v>
      </c>
      <c r="E115" t="s">
        <v>203</v>
      </c>
      <c r="F115" t="s">
        <v>197</v>
      </c>
      <c r="G115">
        <v>5</v>
      </c>
      <c r="I115">
        <v>-3015600.50547123</v>
      </c>
      <c r="J115">
        <v>-36187.206065654762</v>
      </c>
      <c r="K115">
        <v>1</v>
      </c>
    </row>
    <row r="116" spans="1:11" x14ac:dyDescent="0.35">
      <c r="A116" t="s">
        <v>23</v>
      </c>
      <c r="B116" t="s">
        <v>158</v>
      </c>
      <c r="C116">
        <v>8</v>
      </c>
      <c r="D116" t="s">
        <v>204</v>
      </c>
      <c r="E116" t="s">
        <v>205</v>
      </c>
      <c r="F116" t="s">
        <v>206</v>
      </c>
      <c r="G116">
        <v>0.5</v>
      </c>
      <c r="I116">
        <v>-9007085.1281285286</v>
      </c>
      <c r="J116">
        <v>-126099.1917937994</v>
      </c>
      <c r="K116">
        <v>1</v>
      </c>
    </row>
    <row r="117" spans="1:11" x14ac:dyDescent="0.35">
      <c r="A117" t="s">
        <v>23</v>
      </c>
      <c r="B117" t="s">
        <v>158</v>
      </c>
      <c r="C117">
        <v>8</v>
      </c>
      <c r="D117" t="s">
        <v>207</v>
      </c>
      <c r="E117" t="s">
        <v>208</v>
      </c>
      <c r="F117" t="s">
        <v>206</v>
      </c>
      <c r="G117">
        <v>1</v>
      </c>
      <c r="I117">
        <v>-61838026.805222027</v>
      </c>
      <c r="J117">
        <v>-865732.37527310837</v>
      </c>
      <c r="K117">
        <v>1</v>
      </c>
    </row>
    <row r="118" spans="1:11" x14ac:dyDescent="0.35">
      <c r="A118" t="s">
        <v>23</v>
      </c>
      <c r="B118" t="s">
        <v>158</v>
      </c>
      <c r="C118">
        <v>8</v>
      </c>
      <c r="D118" t="s">
        <v>209</v>
      </c>
      <c r="E118" t="s">
        <v>210</v>
      </c>
      <c r="F118" t="s">
        <v>206</v>
      </c>
      <c r="G118">
        <v>3</v>
      </c>
      <c r="I118">
        <v>-173716648.9610076</v>
      </c>
      <c r="J118">
        <v>-2432033.0854541059</v>
      </c>
      <c r="K118">
        <v>1</v>
      </c>
    </row>
    <row r="119" spans="1:11" x14ac:dyDescent="0.35">
      <c r="A119" t="s">
        <v>23</v>
      </c>
      <c r="B119" t="s">
        <v>158</v>
      </c>
      <c r="C119">
        <v>8</v>
      </c>
      <c r="D119" t="s">
        <v>211</v>
      </c>
      <c r="E119" t="s">
        <v>212</v>
      </c>
      <c r="F119" t="s">
        <v>206</v>
      </c>
      <c r="G119">
        <v>5</v>
      </c>
      <c r="I119">
        <v>-91689947.718381882</v>
      </c>
      <c r="J119">
        <v>-1283659.2680573461</v>
      </c>
      <c r="K119">
        <v>1</v>
      </c>
    </row>
    <row r="120" spans="1:11" x14ac:dyDescent="0.35">
      <c r="A120" t="s">
        <v>23</v>
      </c>
      <c r="B120" t="s">
        <v>158</v>
      </c>
      <c r="C120">
        <v>9</v>
      </c>
      <c r="D120" t="s">
        <v>213</v>
      </c>
      <c r="E120" t="s">
        <v>214</v>
      </c>
      <c r="F120" t="s">
        <v>215</v>
      </c>
      <c r="G120">
        <v>0.5</v>
      </c>
      <c r="I120">
        <v>-327722.5342579186</v>
      </c>
      <c r="J120">
        <v>-3686.8785104015842</v>
      </c>
      <c r="K120">
        <v>1</v>
      </c>
    </row>
    <row r="121" spans="1:11" x14ac:dyDescent="0.35">
      <c r="A121" t="s">
        <v>23</v>
      </c>
      <c r="B121" t="s">
        <v>158</v>
      </c>
      <c r="C121">
        <v>9</v>
      </c>
      <c r="D121" t="s">
        <v>216</v>
      </c>
      <c r="E121" t="s">
        <v>214</v>
      </c>
      <c r="F121" t="s">
        <v>217</v>
      </c>
      <c r="G121">
        <v>0.5</v>
      </c>
      <c r="I121">
        <v>109240.8447572961</v>
      </c>
      <c r="J121">
        <v>1228.9595035195809</v>
      </c>
      <c r="K121">
        <v>1</v>
      </c>
    </row>
    <row r="122" spans="1:11" x14ac:dyDescent="0.35">
      <c r="A122" t="s">
        <v>23</v>
      </c>
      <c r="B122" t="s">
        <v>158</v>
      </c>
      <c r="C122">
        <v>9</v>
      </c>
      <c r="D122" t="s">
        <v>218</v>
      </c>
      <c r="E122" t="s">
        <v>219</v>
      </c>
      <c r="F122" t="s">
        <v>215</v>
      </c>
      <c r="G122">
        <v>1</v>
      </c>
      <c r="I122">
        <v>-3212849.0304388111</v>
      </c>
      <c r="J122">
        <v>-36144.551592436626</v>
      </c>
      <c r="K122">
        <v>1</v>
      </c>
    </row>
    <row r="123" spans="1:11" x14ac:dyDescent="0.35">
      <c r="A123" t="s">
        <v>23</v>
      </c>
      <c r="B123" t="s">
        <v>158</v>
      </c>
      <c r="C123">
        <v>9</v>
      </c>
      <c r="D123" t="s">
        <v>220</v>
      </c>
      <c r="E123" t="s">
        <v>219</v>
      </c>
      <c r="F123" t="s">
        <v>217</v>
      </c>
      <c r="G123">
        <v>1</v>
      </c>
      <c r="I123">
        <v>1070949.6768144891</v>
      </c>
      <c r="J123">
        <v>12048.183864163</v>
      </c>
      <c r="K123">
        <v>1</v>
      </c>
    </row>
    <row r="124" spans="1:11" x14ac:dyDescent="0.35">
      <c r="A124" t="s">
        <v>23</v>
      </c>
      <c r="B124" t="s">
        <v>158</v>
      </c>
      <c r="C124">
        <v>9</v>
      </c>
      <c r="D124" t="s">
        <v>221</v>
      </c>
      <c r="E124" t="s">
        <v>222</v>
      </c>
      <c r="F124" t="s">
        <v>215</v>
      </c>
      <c r="G124">
        <v>3</v>
      </c>
      <c r="I124">
        <v>-23111153.029426929</v>
      </c>
      <c r="J124">
        <v>-260000.4715810529</v>
      </c>
      <c r="K124">
        <v>1</v>
      </c>
    </row>
    <row r="125" spans="1:11" x14ac:dyDescent="0.35">
      <c r="A125" t="s">
        <v>23</v>
      </c>
      <c r="B125" t="s">
        <v>158</v>
      </c>
      <c r="C125">
        <v>9</v>
      </c>
      <c r="D125" t="s">
        <v>223</v>
      </c>
      <c r="E125" t="s">
        <v>222</v>
      </c>
      <c r="F125" t="s">
        <v>217</v>
      </c>
      <c r="G125">
        <v>3</v>
      </c>
      <c r="I125">
        <v>7703717.6764756441</v>
      </c>
      <c r="J125">
        <v>86666.823860350996</v>
      </c>
      <c r="K125">
        <v>1</v>
      </c>
    </row>
    <row r="126" spans="1:11" x14ac:dyDescent="0.35">
      <c r="A126" t="s">
        <v>23</v>
      </c>
      <c r="B126" t="s">
        <v>158</v>
      </c>
      <c r="C126">
        <v>12</v>
      </c>
      <c r="D126" t="s">
        <v>224</v>
      </c>
      <c r="E126" t="s">
        <v>225</v>
      </c>
      <c r="F126" t="s">
        <v>226</v>
      </c>
      <c r="G126">
        <v>0.5</v>
      </c>
      <c r="I126">
        <v>-141705.40252700451</v>
      </c>
      <c r="J126">
        <v>-3542.6350631751129</v>
      </c>
      <c r="K126">
        <v>1</v>
      </c>
    </row>
    <row r="127" spans="1:11" x14ac:dyDescent="0.35">
      <c r="A127" t="s">
        <v>23</v>
      </c>
      <c r="B127" t="s">
        <v>158</v>
      </c>
      <c r="C127">
        <v>12</v>
      </c>
      <c r="D127" t="s">
        <v>227</v>
      </c>
      <c r="E127" t="s">
        <v>228</v>
      </c>
      <c r="F127" t="s">
        <v>226</v>
      </c>
      <c r="G127">
        <v>1</v>
      </c>
      <c r="I127">
        <v>-981367.14357882738</v>
      </c>
      <c r="J127">
        <v>-24534.178589470681</v>
      </c>
      <c r="K127">
        <v>1</v>
      </c>
    </row>
    <row r="128" spans="1:11" x14ac:dyDescent="0.35">
      <c r="A128" t="s">
        <v>23</v>
      </c>
      <c r="B128" t="s">
        <v>158</v>
      </c>
      <c r="C128">
        <v>12</v>
      </c>
      <c r="D128" t="s">
        <v>229</v>
      </c>
      <c r="E128" t="s">
        <v>230</v>
      </c>
      <c r="F128" t="s">
        <v>226</v>
      </c>
      <c r="G128">
        <v>3</v>
      </c>
      <c r="I128">
        <v>-2807073.6425928771</v>
      </c>
      <c r="J128">
        <v>-70176.841064821929</v>
      </c>
      <c r="K128">
        <v>1</v>
      </c>
    </row>
    <row r="129" spans="1:11" x14ac:dyDescent="0.35">
      <c r="A129" t="s">
        <v>23</v>
      </c>
      <c r="B129" t="s">
        <v>158</v>
      </c>
      <c r="C129">
        <v>12</v>
      </c>
      <c r="D129" t="s">
        <v>231</v>
      </c>
      <c r="E129" t="s">
        <v>232</v>
      </c>
      <c r="F129" t="s">
        <v>226</v>
      </c>
      <c r="G129">
        <v>5</v>
      </c>
      <c r="I129">
        <v>-27587439.554985609</v>
      </c>
      <c r="J129">
        <v>-689685.98887464032</v>
      </c>
      <c r="K129">
        <v>1</v>
      </c>
    </row>
    <row r="130" spans="1:11" x14ac:dyDescent="0.35">
      <c r="A130" t="s">
        <v>23</v>
      </c>
      <c r="B130" t="s">
        <v>158</v>
      </c>
      <c r="C130">
        <v>12</v>
      </c>
      <c r="D130" t="s">
        <v>233</v>
      </c>
      <c r="E130" t="s">
        <v>234</v>
      </c>
      <c r="F130" t="s">
        <v>226</v>
      </c>
      <c r="G130">
        <v>10</v>
      </c>
      <c r="I130">
        <v>-46515278.08142826</v>
      </c>
      <c r="J130">
        <v>-1162881.952035706</v>
      </c>
      <c r="K130">
        <v>1</v>
      </c>
    </row>
    <row r="131" spans="1:11" x14ac:dyDescent="0.35">
      <c r="A131" t="s">
        <v>23</v>
      </c>
      <c r="B131" t="s">
        <v>158</v>
      </c>
      <c r="C131">
        <v>14</v>
      </c>
      <c r="D131" t="s">
        <v>235</v>
      </c>
      <c r="E131" t="s">
        <v>236</v>
      </c>
      <c r="F131" t="s">
        <v>237</v>
      </c>
      <c r="G131">
        <v>0.5</v>
      </c>
      <c r="I131">
        <v>-191373.7157732248</v>
      </c>
      <c r="J131">
        <v>-2870.605736598372</v>
      </c>
      <c r="K131">
        <v>1</v>
      </c>
    </row>
    <row r="132" spans="1:11" x14ac:dyDescent="0.35">
      <c r="A132" t="s">
        <v>23</v>
      </c>
      <c r="B132" t="s">
        <v>158</v>
      </c>
      <c r="C132">
        <v>14</v>
      </c>
      <c r="D132" t="s">
        <v>238</v>
      </c>
      <c r="E132" t="s">
        <v>236</v>
      </c>
      <c r="F132" t="s">
        <v>239</v>
      </c>
      <c r="G132">
        <v>0.5</v>
      </c>
      <c r="I132">
        <v>-104459.0344838798</v>
      </c>
      <c r="J132">
        <v>-1566.8855172581971</v>
      </c>
      <c r="K132">
        <v>1</v>
      </c>
    </row>
    <row r="133" spans="1:11" x14ac:dyDescent="0.35">
      <c r="A133" t="s">
        <v>23</v>
      </c>
      <c r="B133" t="s">
        <v>158</v>
      </c>
      <c r="C133">
        <v>14</v>
      </c>
      <c r="D133" t="s">
        <v>240</v>
      </c>
      <c r="E133" t="s">
        <v>241</v>
      </c>
      <c r="F133" t="s">
        <v>237</v>
      </c>
      <c r="G133">
        <v>1</v>
      </c>
      <c r="I133">
        <v>-7838103.8650870323</v>
      </c>
      <c r="J133">
        <v>-117571.5579763055</v>
      </c>
      <c r="K133">
        <v>1</v>
      </c>
    </row>
    <row r="134" spans="1:11" x14ac:dyDescent="0.35">
      <c r="A134" t="s">
        <v>23</v>
      </c>
      <c r="B134" t="s">
        <v>158</v>
      </c>
      <c r="C134">
        <v>14</v>
      </c>
      <c r="D134" t="s">
        <v>242</v>
      </c>
      <c r="E134" t="s">
        <v>241</v>
      </c>
      <c r="F134" t="s">
        <v>239</v>
      </c>
      <c r="G134">
        <v>1</v>
      </c>
      <c r="I134">
        <v>-4167003.845237195</v>
      </c>
      <c r="J134">
        <v>-62505.057678557932</v>
      </c>
      <c r="K134">
        <v>1</v>
      </c>
    </row>
    <row r="135" spans="1:11" x14ac:dyDescent="0.35">
      <c r="A135" t="s">
        <v>23</v>
      </c>
      <c r="B135" t="s">
        <v>158</v>
      </c>
      <c r="C135">
        <v>14</v>
      </c>
      <c r="D135" t="s">
        <v>243</v>
      </c>
      <c r="E135" t="s">
        <v>244</v>
      </c>
      <c r="F135" t="s">
        <v>237</v>
      </c>
      <c r="G135">
        <v>3</v>
      </c>
      <c r="I135">
        <v>-42285801.745466888</v>
      </c>
      <c r="J135">
        <v>-634287.02618200332</v>
      </c>
      <c r="K135">
        <v>1</v>
      </c>
    </row>
    <row r="136" spans="1:11" x14ac:dyDescent="0.35">
      <c r="A136" t="s">
        <v>23</v>
      </c>
      <c r="B136" t="s">
        <v>158</v>
      </c>
      <c r="C136">
        <v>14</v>
      </c>
      <c r="D136" t="s">
        <v>245</v>
      </c>
      <c r="E136" t="s">
        <v>244</v>
      </c>
      <c r="F136" t="s">
        <v>239</v>
      </c>
      <c r="G136">
        <v>3</v>
      </c>
      <c r="I136">
        <v>-22334908.399339769</v>
      </c>
      <c r="J136">
        <v>-335023.62599009648</v>
      </c>
      <c r="K136">
        <v>1</v>
      </c>
    </row>
    <row r="137" spans="1:11" x14ac:dyDescent="0.35">
      <c r="A137" t="s">
        <v>23</v>
      </c>
      <c r="B137" t="s">
        <v>158</v>
      </c>
      <c r="C137">
        <v>14</v>
      </c>
      <c r="D137" t="s">
        <v>246</v>
      </c>
      <c r="E137" t="s">
        <v>247</v>
      </c>
      <c r="F137" t="s">
        <v>237</v>
      </c>
      <c r="G137">
        <v>5</v>
      </c>
      <c r="I137">
        <v>-724563.47391009331</v>
      </c>
      <c r="J137">
        <v>-10868.4521086514</v>
      </c>
      <c r="K137">
        <v>1</v>
      </c>
    </row>
    <row r="138" spans="1:11" x14ac:dyDescent="0.35">
      <c r="A138" t="s">
        <v>23</v>
      </c>
      <c r="B138" t="s">
        <v>158</v>
      </c>
      <c r="C138">
        <v>14</v>
      </c>
      <c r="D138" t="s">
        <v>248</v>
      </c>
      <c r="E138" t="s">
        <v>247</v>
      </c>
      <c r="F138" t="s">
        <v>239</v>
      </c>
      <c r="G138">
        <v>5</v>
      </c>
      <c r="I138">
        <v>-380668.86870190501</v>
      </c>
      <c r="J138">
        <v>-5710.0330305285752</v>
      </c>
      <c r="K138">
        <v>1</v>
      </c>
    </row>
    <row r="139" spans="1:11" x14ac:dyDescent="0.35">
      <c r="A139" t="s">
        <v>23</v>
      </c>
      <c r="B139" t="s">
        <v>158</v>
      </c>
      <c r="C139">
        <v>15</v>
      </c>
      <c r="D139" t="s">
        <v>249</v>
      </c>
      <c r="E139" t="s">
        <v>250</v>
      </c>
      <c r="F139" t="s">
        <v>251</v>
      </c>
      <c r="G139">
        <v>0.5</v>
      </c>
      <c r="I139">
        <v>616573.80552962422</v>
      </c>
      <c r="J139">
        <v>9248.6070829443634</v>
      </c>
      <c r="K139">
        <v>1</v>
      </c>
    </row>
    <row r="140" spans="1:11" x14ac:dyDescent="0.35">
      <c r="A140" t="s">
        <v>23</v>
      </c>
      <c r="B140" t="s">
        <v>158</v>
      </c>
      <c r="C140">
        <v>15</v>
      </c>
      <c r="D140" t="s">
        <v>252</v>
      </c>
      <c r="E140" t="s">
        <v>253</v>
      </c>
      <c r="F140" t="s">
        <v>251</v>
      </c>
      <c r="G140">
        <v>1</v>
      </c>
      <c r="I140">
        <v>4220636.1947953701</v>
      </c>
      <c r="J140">
        <v>63309.542921930552</v>
      </c>
      <c r="K140">
        <v>1</v>
      </c>
    </row>
    <row r="141" spans="1:11" x14ac:dyDescent="0.35">
      <c r="A141" t="s">
        <v>23</v>
      </c>
      <c r="B141" t="s">
        <v>158</v>
      </c>
      <c r="C141">
        <v>15</v>
      </c>
      <c r="D141" t="s">
        <v>254</v>
      </c>
      <c r="E141" t="s">
        <v>255</v>
      </c>
      <c r="F141" t="s">
        <v>251</v>
      </c>
      <c r="G141">
        <v>3</v>
      </c>
      <c r="I141">
        <v>7819842.8004048755</v>
      </c>
      <c r="J141">
        <v>117297.6420060731</v>
      </c>
      <c r="K141">
        <v>1</v>
      </c>
    </row>
    <row r="142" spans="1:11" x14ac:dyDescent="0.35">
      <c r="A142" t="s">
        <v>23</v>
      </c>
      <c r="B142" t="s">
        <v>158</v>
      </c>
      <c r="C142">
        <v>15</v>
      </c>
      <c r="D142" t="s">
        <v>256</v>
      </c>
      <c r="E142" t="s">
        <v>257</v>
      </c>
      <c r="F142" t="s">
        <v>251</v>
      </c>
      <c r="G142">
        <v>5</v>
      </c>
      <c r="I142">
        <v>438442.24316067988</v>
      </c>
      <c r="J142">
        <v>6576.6336474101981</v>
      </c>
      <c r="K142">
        <v>1</v>
      </c>
    </row>
    <row r="143" spans="1:11" x14ac:dyDescent="0.35">
      <c r="A143" t="s">
        <v>23</v>
      </c>
      <c r="B143" t="s">
        <v>158</v>
      </c>
      <c r="C143">
        <v>16</v>
      </c>
      <c r="D143" t="s">
        <v>258</v>
      </c>
      <c r="E143" t="s">
        <v>259</v>
      </c>
      <c r="F143" t="s">
        <v>260</v>
      </c>
      <c r="G143">
        <v>0.5</v>
      </c>
      <c r="I143">
        <v>-426343.50888431072</v>
      </c>
      <c r="J143">
        <v>-7461.0114054754386</v>
      </c>
      <c r="K143">
        <v>1</v>
      </c>
    </row>
    <row r="144" spans="1:11" x14ac:dyDescent="0.35">
      <c r="A144" t="s">
        <v>23</v>
      </c>
      <c r="B144" t="s">
        <v>158</v>
      </c>
      <c r="C144">
        <v>16</v>
      </c>
      <c r="D144" t="s">
        <v>261</v>
      </c>
      <c r="E144" t="s">
        <v>259</v>
      </c>
      <c r="F144" t="s">
        <v>262</v>
      </c>
      <c r="G144">
        <v>0.5</v>
      </c>
      <c r="I144">
        <v>-189486.00396513939</v>
      </c>
      <c r="J144">
        <v>-3316.0050693899402</v>
      </c>
      <c r="K144">
        <v>1</v>
      </c>
    </row>
    <row r="145" spans="1:11" x14ac:dyDescent="0.35">
      <c r="A145" t="s">
        <v>23</v>
      </c>
      <c r="B145" t="s">
        <v>158</v>
      </c>
      <c r="C145">
        <v>16</v>
      </c>
      <c r="D145" t="s">
        <v>263</v>
      </c>
      <c r="E145" t="s">
        <v>264</v>
      </c>
      <c r="F145" t="s">
        <v>260</v>
      </c>
      <c r="G145">
        <v>1</v>
      </c>
      <c r="I145">
        <v>-5100884.1170370579</v>
      </c>
      <c r="J145">
        <v>-89265.472048148527</v>
      </c>
      <c r="K145">
        <v>1</v>
      </c>
    </row>
    <row r="146" spans="1:11" x14ac:dyDescent="0.35">
      <c r="A146" t="s">
        <v>23</v>
      </c>
      <c r="B146" t="s">
        <v>158</v>
      </c>
      <c r="C146">
        <v>16</v>
      </c>
      <c r="D146" t="s">
        <v>265</v>
      </c>
      <c r="E146" t="s">
        <v>264</v>
      </c>
      <c r="F146" t="s">
        <v>262</v>
      </c>
      <c r="G146">
        <v>1</v>
      </c>
      <c r="I146">
        <v>-2267059.6075803041</v>
      </c>
      <c r="J146">
        <v>-39673.54313265533</v>
      </c>
      <c r="K146">
        <v>1</v>
      </c>
    </row>
    <row r="147" spans="1:11" x14ac:dyDescent="0.35">
      <c r="A147" t="s">
        <v>23</v>
      </c>
      <c r="B147" t="s">
        <v>158</v>
      </c>
      <c r="C147">
        <v>16</v>
      </c>
      <c r="D147" t="s">
        <v>266</v>
      </c>
      <c r="E147" t="s">
        <v>267</v>
      </c>
      <c r="F147" t="s">
        <v>260</v>
      </c>
      <c r="G147">
        <v>3</v>
      </c>
      <c r="I147">
        <v>-83652175.076082349</v>
      </c>
      <c r="J147">
        <v>-1463913.0638314411</v>
      </c>
      <c r="K147">
        <v>1</v>
      </c>
    </row>
    <row r="148" spans="1:11" x14ac:dyDescent="0.35">
      <c r="A148" t="s">
        <v>23</v>
      </c>
      <c r="B148" t="s">
        <v>158</v>
      </c>
      <c r="C148">
        <v>16</v>
      </c>
      <c r="D148" t="s">
        <v>268</v>
      </c>
      <c r="E148" t="s">
        <v>267</v>
      </c>
      <c r="F148" t="s">
        <v>262</v>
      </c>
      <c r="G148">
        <v>3</v>
      </c>
      <c r="I148">
        <v>-37178744.478300206</v>
      </c>
      <c r="J148">
        <v>-650628.02837025363</v>
      </c>
      <c r="K148">
        <v>1</v>
      </c>
    </row>
    <row r="149" spans="1:11" x14ac:dyDescent="0.35">
      <c r="A149" t="s">
        <v>23</v>
      </c>
      <c r="B149" t="s">
        <v>158</v>
      </c>
      <c r="C149">
        <v>16</v>
      </c>
      <c r="D149" t="s">
        <v>269</v>
      </c>
      <c r="E149" t="s">
        <v>270</v>
      </c>
      <c r="F149" t="s">
        <v>260</v>
      </c>
      <c r="G149">
        <v>5</v>
      </c>
      <c r="I149">
        <v>-55745407.37092495</v>
      </c>
      <c r="J149">
        <v>-975544.62899118674</v>
      </c>
      <c r="K149">
        <v>1</v>
      </c>
    </row>
    <row r="150" spans="1:11" x14ac:dyDescent="0.35">
      <c r="A150" t="s">
        <v>23</v>
      </c>
      <c r="B150" t="s">
        <v>158</v>
      </c>
      <c r="C150">
        <v>16</v>
      </c>
      <c r="D150" t="s">
        <v>271</v>
      </c>
      <c r="E150" t="s">
        <v>270</v>
      </c>
      <c r="F150" t="s">
        <v>262</v>
      </c>
      <c r="G150">
        <v>5</v>
      </c>
      <c r="I150">
        <v>-24775736.60936207</v>
      </c>
      <c r="J150">
        <v>-433575.39066383633</v>
      </c>
      <c r="K150">
        <v>1</v>
      </c>
    </row>
    <row r="151" spans="1:11" x14ac:dyDescent="0.35">
      <c r="A151" t="s">
        <v>23</v>
      </c>
      <c r="B151" t="s">
        <v>272</v>
      </c>
      <c r="C151">
        <v>5</v>
      </c>
      <c r="D151" t="s">
        <v>273</v>
      </c>
      <c r="E151" t="s">
        <v>273</v>
      </c>
      <c r="F151" t="s">
        <v>274</v>
      </c>
      <c r="I151">
        <v>2580754.41</v>
      </c>
      <c r="J151">
        <v>774226.32299999997</v>
      </c>
      <c r="K151">
        <v>1</v>
      </c>
    </row>
    <row r="152" spans="1:11" x14ac:dyDescent="0.35">
      <c r="A152" t="s">
        <v>23</v>
      </c>
      <c r="B152" t="s">
        <v>272</v>
      </c>
      <c r="C152">
        <v>7</v>
      </c>
      <c r="D152" t="s">
        <v>275</v>
      </c>
      <c r="E152" t="s">
        <v>275</v>
      </c>
      <c r="F152" t="s">
        <v>276</v>
      </c>
      <c r="I152">
        <v>567812.96</v>
      </c>
      <c r="J152">
        <v>227125.18400000001</v>
      </c>
      <c r="K152">
        <v>1</v>
      </c>
    </row>
    <row r="153" spans="1:11" x14ac:dyDescent="0.35">
      <c r="A153" t="s">
        <v>23</v>
      </c>
      <c r="B153" t="s">
        <v>272</v>
      </c>
      <c r="C153">
        <v>8</v>
      </c>
      <c r="D153" t="s">
        <v>277</v>
      </c>
      <c r="E153" t="s">
        <v>277</v>
      </c>
      <c r="F153" t="s">
        <v>278</v>
      </c>
      <c r="I153">
        <v>3696642.18</v>
      </c>
      <c r="J153">
        <v>1848321.09</v>
      </c>
      <c r="K153">
        <v>1</v>
      </c>
    </row>
    <row r="154" spans="1:11" x14ac:dyDescent="0.35">
      <c r="A154" t="s">
        <v>23</v>
      </c>
      <c r="B154" t="s">
        <v>272</v>
      </c>
      <c r="C154">
        <v>8</v>
      </c>
      <c r="D154" t="s">
        <v>279</v>
      </c>
      <c r="E154" t="s">
        <v>279</v>
      </c>
      <c r="F154" t="s">
        <v>280</v>
      </c>
      <c r="I154">
        <v>656064.78</v>
      </c>
      <c r="J154">
        <v>328032.39</v>
      </c>
      <c r="K154">
        <v>1</v>
      </c>
    </row>
    <row r="155" spans="1:11" x14ac:dyDescent="0.35">
      <c r="A155" t="s">
        <v>23</v>
      </c>
      <c r="B155" t="s">
        <v>272</v>
      </c>
      <c r="C155">
        <v>8</v>
      </c>
      <c r="D155" t="s">
        <v>281</v>
      </c>
      <c r="E155" t="s">
        <v>281</v>
      </c>
      <c r="F155" t="s">
        <v>282</v>
      </c>
      <c r="I155">
        <v>522491.32</v>
      </c>
      <c r="J155">
        <v>261245.66</v>
      </c>
      <c r="K155">
        <v>1</v>
      </c>
    </row>
    <row r="156" spans="1:11" x14ac:dyDescent="0.35">
      <c r="A156" t="s">
        <v>23</v>
      </c>
      <c r="B156" t="s">
        <v>272</v>
      </c>
      <c r="C156">
        <v>8</v>
      </c>
      <c r="D156" t="s">
        <v>283</v>
      </c>
      <c r="E156" t="s">
        <v>283</v>
      </c>
      <c r="F156" t="s">
        <v>284</v>
      </c>
      <c r="I156">
        <v>3601681.25</v>
      </c>
      <c r="J156">
        <v>1800840.625</v>
      </c>
      <c r="K156">
        <v>1</v>
      </c>
    </row>
    <row r="157" spans="1:11" x14ac:dyDescent="0.35">
      <c r="A157" t="s">
        <v>23</v>
      </c>
      <c r="B157" t="s">
        <v>272</v>
      </c>
      <c r="C157">
        <v>8</v>
      </c>
      <c r="D157" t="s">
        <v>285</v>
      </c>
      <c r="E157" t="s">
        <v>285</v>
      </c>
      <c r="F157" t="s">
        <v>286</v>
      </c>
      <c r="I157">
        <v>1128362.08</v>
      </c>
      <c r="J157">
        <v>564181.04</v>
      </c>
      <c r="K157">
        <v>1</v>
      </c>
    </row>
    <row r="158" spans="1:11" x14ac:dyDescent="0.35">
      <c r="A158" t="s">
        <v>23</v>
      </c>
      <c r="B158" t="s">
        <v>272</v>
      </c>
      <c r="C158">
        <v>8</v>
      </c>
      <c r="D158" t="s">
        <v>287</v>
      </c>
      <c r="E158" t="s">
        <v>287</v>
      </c>
      <c r="F158" t="s">
        <v>288</v>
      </c>
      <c r="I158">
        <v>1993874.75</v>
      </c>
      <c r="J158">
        <v>996937.375</v>
      </c>
      <c r="K158">
        <v>1</v>
      </c>
    </row>
    <row r="159" spans="1:11" x14ac:dyDescent="0.35">
      <c r="A159" t="s">
        <v>23</v>
      </c>
      <c r="B159" t="s">
        <v>272</v>
      </c>
      <c r="C159">
        <v>8</v>
      </c>
      <c r="D159" t="s">
        <v>289</v>
      </c>
      <c r="E159" t="s">
        <v>289</v>
      </c>
      <c r="F159" t="s">
        <v>290</v>
      </c>
      <c r="I159">
        <v>3599718.48</v>
      </c>
      <c r="J159">
        <v>1799859.24</v>
      </c>
      <c r="K159">
        <v>1</v>
      </c>
    </row>
    <row r="160" spans="1:11" x14ac:dyDescent="0.35">
      <c r="A160" t="s">
        <v>23</v>
      </c>
      <c r="B160" t="s">
        <v>272</v>
      </c>
      <c r="C160">
        <v>8</v>
      </c>
      <c r="D160" t="s">
        <v>291</v>
      </c>
      <c r="E160" t="s">
        <v>291</v>
      </c>
      <c r="F160" t="s">
        <v>292</v>
      </c>
      <c r="I160">
        <v>4902017.5999999996</v>
      </c>
      <c r="J160">
        <v>2451008.7999999998</v>
      </c>
      <c r="K160">
        <v>1</v>
      </c>
    </row>
    <row r="161" spans="1:11" x14ac:dyDescent="0.35">
      <c r="A161" t="s">
        <v>23</v>
      </c>
      <c r="B161" t="s">
        <v>272</v>
      </c>
      <c r="C161">
        <v>12</v>
      </c>
      <c r="D161" t="s">
        <v>293</v>
      </c>
      <c r="E161" t="s">
        <v>293</v>
      </c>
      <c r="F161" t="s">
        <v>294</v>
      </c>
      <c r="I161">
        <v>-5235.4520826948774</v>
      </c>
      <c r="J161">
        <v>-785.31781240423163</v>
      </c>
      <c r="K161">
        <v>4</v>
      </c>
    </row>
    <row r="162" spans="1:11" x14ac:dyDescent="0.35">
      <c r="A162" t="s">
        <v>23</v>
      </c>
      <c r="B162" t="s">
        <v>295</v>
      </c>
      <c r="C162" t="s">
        <v>296</v>
      </c>
      <c r="D162" t="s">
        <v>297</v>
      </c>
      <c r="E162" t="s">
        <v>297</v>
      </c>
      <c r="F162" t="s">
        <v>298</v>
      </c>
      <c r="I162">
        <v>-13645000</v>
      </c>
      <c r="J162">
        <v>-1447270.804393566</v>
      </c>
      <c r="K162">
        <v>4</v>
      </c>
    </row>
    <row r="163" spans="1:11" x14ac:dyDescent="0.35">
      <c r="A163" t="s">
        <v>23</v>
      </c>
      <c r="B163" t="s">
        <v>299</v>
      </c>
      <c r="C163" t="s">
        <v>300</v>
      </c>
      <c r="D163" t="s">
        <v>301</v>
      </c>
      <c r="E163" t="s">
        <v>301</v>
      </c>
      <c r="F163" t="s">
        <v>298</v>
      </c>
      <c r="G163">
        <v>0.25</v>
      </c>
      <c r="I163">
        <v>21391.29710317533</v>
      </c>
      <c r="J163">
        <v>257.14083108053433</v>
      </c>
      <c r="K163">
        <v>4</v>
      </c>
    </row>
    <row r="164" spans="1:11" x14ac:dyDescent="0.35">
      <c r="A164" t="s">
        <v>23</v>
      </c>
      <c r="B164" t="s">
        <v>299</v>
      </c>
      <c r="C164" t="s">
        <v>300</v>
      </c>
      <c r="D164" t="s">
        <v>302</v>
      </c>
      <c r="E164" t="s">
        <v>302</v>
      </c>
      <c r="F164" t="s">
        <v>298</v>
      </c>
      <c r="G164">
        <v>0.5</v>
      </c>
      <c r="I164">
        <v>127993.0559712298</v>
      </c>
      <c r="J164">
        <v>1538.5808829747821</v>
      </c>
      <c r="K164">
        <v>4</v>
      </c>
    </row>
    <row r="165" spans="1:11" x14ac:dyDescent="0.35">
      <c r="A165" t="s">
        <v>23</v>
      </c>
      <c r="B165" t="s">
        <v>299</v>
      </c>
      <c r="C165" t="s">
        <v>300</v>
      </c>
      <c r="D165" t="s">
        <v>303</v>
      </c>
      <c r="E165" t="s">
        <v>303</v>
      </c>
      <c r="F165" t="s">
        <v>298</v>
      </c>
      <c r="G165">
        <v>1</v>
      </c>
      <c r="I165">
        <v>437036.77092734602</v>
      </c>
      <c r="J165">
        <v>4944.5066296095711</v>
      </c>
      <c r="K165">
        <v>4</v>
      </c>
    </row>
    <row r="166" spans="1:11" x14ac:dyDescent="0.35">
      <c r="A166" t="s">
        <v>23</v>
      </c>
      <c r="B166" t="s">
        <v>299</v>
      </c>
      <c r="C166" t="s">
        <v>300</v>
      </c>
      <c r="D166" t="s">
        <v>304</v>
      </c>
      <c r="E166" t="s">
        <v>304</v>
      </c>
      <c r="F166" t="s">
        <v>298</v>
      </c>
      <c r="G166">
        <v>2</v>
      </c>
      <c r="I166">
        <v>969605.97516788915</v>
      </c>
      <c r="J166">
        <v>8912.9944815627259</v>
      </c>
      <c r="K166">
        <v>4</v>
      </c>
    </row>
    <row r="167" spans="1:11" x14ac:dyDescent="0.35">
      <c r="A167" t="s">
        <v>23</v>
      </c>
      <c r="B167" t="s">
        <v>299</v>
      </c>
      <c r="C167" t="s">
        <v>300</v>
      </c>
      <c r="D167" t="s">
        <v>305</v>
      </c>
      <c r="E167" t="s">
        <v>305</v>
      </c>
      <c r="F167" t="s">
        <v>298</v>
      </c>
      <c r="G167">
        <v>3</v>
      </c>
      <c r="I167">
        <v>33715302.649207242</v>
      </c>
      <c r="J167">
        <v>286083.8295961346</v>
      </c>
      <c r="K167">
        <v>4</v>
      </c>
    </row>
    <row r="168" spans="1:11" x14ac:dyDescent="0.35">
      <c r="A168" t="s">
        <v>23</v>
      </c>
      <c r="B168" t="s">
        <v>299</v>
      </c>
      <c r="C168" t="s">
        <v>300</v>
      </c>
      <c r="D168" t="s">
        <v>306</v>
      </c>
      <c r="E168" t="s">
        <v>306</v>
      </c>
      <c r="F168" t="s">
        <v>298</v>
      </c>
      <c r="G168">
        <v>5</v>
      </c>
      <c r="I168">
        <v>-2085982.6817606951</v>
      </c>
      <c r="J168">
        <v>-16225.137496817541</v>
      </c>
      <c r="K168">
        <v>4</v>
      </c>
    </row>
    <row r="169" spans="1:11" x14ac:dyDescent="0.35">
      <c r="A169" t="s">
        <v>23</v>
      </c>
      <c r="B169" t="s">
        <v>299</v>
      </c>
      <c r="C169" t="s">
        <v>300</v>
      </c>
      <c r="D169" t="s">
        <v>307</v>
      </c>
      <c r="E169" t="s">
        <v>307</v>
      </c>
      <c r="F169" t="s">
        <v>308</v>
      </c>
      <c r="G169">
        <v>10</v>
      </c>
      <c r="I169">
        <v>-28064079.319674041</v>
      </c>
      <c r="J169">
        <v>-218287.30874168529</v>
      </c>
      <c r="K169">
        <v>3</v>
      </c>
    </row>
    <row r="170" spans="1:11" x14ac:dyDescent="0.35">
      <c r="A170" t="s">
        <v>23</v>
      </c>
      <c r="B170" t="s">
        <v>299</v>
      </c>
      <c r="C170" t="s">
        <v>300</v>
      </c>
      <c r="D170" t="s">
        <v>309</v>
      </c>
      <c r="E170" t="s">
        <v>309</v>
      </c>
      <c r="F170" t="s">
        <v>310</v>
      </c>
      <c r="G170">
        <v>15</v>
      </c>
      <c r="I170">
        <v>-2272188.6602082378</v>
      </c>
      <c r="J170">
        <v>-17673.480107452629</v>
      </c>
      <c r="K170">
        <v>1</v>
      </c>
    </row>
    <row r="171" spans="1:11" x14ac:dyDescent="0.35">
      <c r="A171" t="s">
        <v>23</v>
      </c>
      <c r="B171" t="s">
        <v>299</v>
      </c>
      <c r="C171" t="s">
        <v>300</v>
      </c>
      <c r="D171" t="s">
        <v>311</v>
      </c>
      <c r="E171" t="s">
        <v>311</v>
      </c>
      <c r="F171" t="s">
        <v>310</v>
      </c>
      <c r="G171">
        <v>20</v>
      </c>
      <c r="I171">
        <v>-6277125.9084475907</v>
      </c>
      <c r="J171">
        <v>-48824.58125847565</v>
      </c>
      <c r="K171">
        <v>1</v>
      </c>
    </row>
    <row r="172" spans="1:11" x14ac:dyDescent="0.35">
      <c r="A172" t="s">
        <v>23</v>
      </c>
      <c r="B172" t="s">
        <v>299</v>
      </c>
      <c r="C172" t="s">
        <v>300</v>
      </c>
      <c r="D172" t="s">
        <v>312</v>
      </c>
      <c r="E172" t="s">
        <v>312</v>
      </c>
      <c r="F172" t="s">
        <v>310</v>
      </c>
      <c r="G172">
        <v>30</v>
      </c>
      <c r="I172">
        <v>-72461695.115680456</v>
      </c>
      <c r="J172">
        <v>-563619.71591826761</v>
      </c>
      <c r="K172">
        <v>1</v>
      </c>
    </row>
    <row r="173" spans="1:11" x14ac:dyDescent="0.35">
      <c r="A173" t="s">
        <v>23</v>
      </c>
      <c r="B173" t="s">
        <v>299</v>
      </c>
      <c r="C173" t="s">
        <v>300</v>
      </c>
      <c r="D173" t="s">
        <v>313</v>
      </c>
      <c r="E173" t="s">
        <v>313</v>
      </c>
      <c r="F173" t="s">
        <v>308</v>
      </c>
      <c r="G173" t="s">
        <v>314</v>
      </c>
      <c r="I173">
        <v>170102793.24084771</v>
      </c>
      <c r="J173">
        <v>1924493.417590027</v>
      </c>
      <c r="K173">
        <v>3</v>
      </c>
    </row>
    <row r="174" spans="1:11" x14ac:dyDescent="0.35">
      <c r="A174" t="s">
        <v>23</v>
      </c>
      <c r="B174" t="s">
        <v>299</v>
      </c>
      <c r="C174" t="s">
        <v>300</v>
      </c>
      <c r="D174" t="s">
        <v>315</v>
      </c>
      <c r="E174" t="s">
        <v>315</v>
      </c>
      <c r="F174" t="s">
        <v>298</v>
      </c>
      <c r="G174" t="s">
        <v>316</v>
      </c>
      <c r="I174">
        <v>76860080.82728833</v>
      </c>
      <c r="J174">
        <v>869572.54968834773</v>
      </c>
      <c r="K174">
        <v>1</v>
      </c>
    </row>
    <row r="175" spans="1:11" x14ac:dyDescent="0.35">
      <c r="A175" t="s">
        <v>23</v>
      </c>
      <c r="B175" t="s">
        <v>299</v>
      </c>
      <c r="C175" t="s">
        <v>317</v>
      </c>
      <c r="D175" t="s">
        <v>318</v>
      </c>
      <c r="E175" t="s">
        <v>318</v>
      </c>
      <c r="F175" t="s">
        <v>319</v>
      </c>
      <c r="G175">
        <v>0.25</v>
      </c>
      <c r="I175">
        <v>-6375751.3986553065</v>
      </c>
      <c r="J175">
        <v>-76641.729835529317</v>
      </c>
      <c r="K175">
        <v>40</v>
      </c>
    </row>
    <row r="176" spans="1:11" x14ac:dyDescent="0.35">
      <c r="A176" t="s">
        <v>23</v>
      </c>
      <c r="B176" t="s">
        <v>299</v>
      </c>
      <c r="C176" t="s">
        <v>317</v>
      </c>
      <c r="D176" t="s">
        <v>320</v>
      </c>
      <c r="E176" t="s">
        <v>320</v>
      </c>
      <c r="F176" t="s">
        <v>319</v>
      </c>
      <c r="G176">
        <v>0.5</v>
      </c>
      <c r="I176">
        <v>-143779861.68802509</v>
      </c>
      <c r="J176">
        <v>-1728351.1583603299</v>
      </c>
      <c r="K176">
        <v>40</v>
      </c>
    </row>
    <row r="177" spans="1:11" x14ac:dyDescent="0.35">
      <c r="A177" t="s">
        <v>23</v>
      </c>
      <c r="B177" t="s">
        <v>299</v>
      </c>
      <c r="C177" t="s">
        <v>317</v>
      </c>
      <c r="D177" t="s">
        <v>321</v>
      </c>
      <c r="E177" t="s">
        <v>321</v>
      </c>
      <c r="F177" t="s">
        <v>322</v>
      </c>
      <c r="G177">
        <v>1</v>
      </c>
      <c r="I177">
        <v>-86176360.695067063</v>
      </c>
      <c r="J177">
        <v>-974974.22440735658</v>
      </c>
      <c r="K177">
        <v>40</v>
      </c>
    </row>
    <row r="178" spans="1:11" x14ac:dyDescent="0.35">
      <c r="A178" t="s">
        <v>23</v>
      </c>
      <c r="B178" t="s">
        <v>299</v>
      </c>
      <c r="C178" t="s">
        <v>317</v>
      </c>
      <c r="D178" t="s">
        <v>323</v>
      </c>
      <c r="E178" t="s">
        <v>323</v>
      </c>
      <c r="F178" t="s">
        <v>322</v>
      </c>
      <c r="G178">
        <v>2</v>
      </c>
      <c r="I178">
        <v>-259621784.9204073</v>
      </c>
      <c r="J178">
        <v>-2386544.220592679</v>
      </c>
      <c r="K178">
        <v>36</v>
      </c>
    </row>
    <row r="179" spans="1:11" x14ac:dyDescent="0.35">
      <c r="A179" t="s">
        <v>23</v>
      </c>
      <c r="B179" t="s">
        <v>299</v>
      </c>
      <c r="C179" t="s">
        <v>317</v>
      </c>
      <c r="D179" t="s">
        <v>324</v>
      </c>
      <c r="E179" t="s">
        <v>324</v>
      </c>
      <c r="F179" t="s">
        <v>319</v>
      </c>
      <c r="G179">
        <v>3</v>
      </c>
      <c r="I179">
        <v>-774247567.20316625</v>
      </c>
      <c r="J179">
        <v>-6569708.4610385532</v>
      </c>
      <c r="K179">
        <v>29</v>
      </c>
    </row>
    <row r="180" spans="1:11" x14ac:dyDescent="0.35">
      <c r="A180" t="s">
        <v>23</v>
      </c>
      <c r="B180" t="s">
        <v>299</v>
      </c>
      <c r="C180" t="s">
        <v>317</v>
      </c>
      <c r="D180" t="s">
        <v>325</v>
      </c>
      <c r="E180" t="s">
        <v>325</v>
      </c>
      <c r="F180" t="s">
        <v>319</v>
      </c>
      <c r="G180">
        <v>5</v>
      </c>
      <c r="I180">
        <v>-504680220.74334598</v>
      </c>
      <c r="J180">
        <v>-3925490.8706017812</v>
      </c>
      <c r="K180">
        <v>22</v>
      </c>
    </row>
    <row r="181" spans="1:11" x14ac:dyDescent="0.35">
      <c r="A181" t="s">
        <v>23</v>
      </c>
      <c r="B181" t="s">
        <v>299</v>
      </c>
      <c r="C181" t="s">
        <v>317</v>
      </c>
      <c r="D181" t="s">
        <v>326</v>
      </c>
      <c r="E181" t="s">
        <v>326</v>
      </c>
      <c r="F181" t="s">
        <v>95</v>
      </c>
      <c r="G181">
        <v>10</v>
      </c>
      <c r="I181">
        <v>-462291533.67622471</v>
      </c>
      <c r="J181">
        <v>-3595784.2618234651</v>
      </c>
      <c r="K181">
        <v>4</v>
      </c>
    </row>
    <row r="182" spans="1:11" x14ac:dyDescent="0.35">
      <c r="A182" t="s">
        <v>327</v>
      </c>
      <c r="B182" t="s">
        <v>272</v>
      </c>
      <c r="C182">
        <v>12</v>
      </c>
      <c r="D182" t="s">
        <v>328</v>
      </c>
      <c r="E182" t="s">
        <v>328</v>
      </c>
      <c r="F182" t="s">
        <v>294</v>
      </c>
      <c r="G182">
        <v>0.5</v>
      </c>
      <c r="I182">
        <v>-1911456.5063505131</v>
      </c>
      <c r="J182">
        <v>-1486763.365400037</v>
      </c>
      <c r="K182">
        <v>3</v>
      </c>
    </row>
    <row r="183" spans="1:11" x14ac:dyDescent="0.35">
      <c r="A183" t="s">
        <v>327</v>
      </c>
      <c r="B183" t="s">
        <v>272</v>
      </c>
      <c r="C183">
        <v>12</v>
      </c>
      <c r="D183" t="s">
        <v>329</v>
      </c>
      <c r="E183" t="s">
        <v>329</v>
      </c>
      <c r="F183" t="s">
        <v>330</v>
      </c>
      <c r="G183">
        <v>1</v>
      </c>
      <c r="I183">
        <v>-2004105.8534807151</v>
      </c>
      <c r="J183">
        <v>-1558827.602636809</v>
      </c>
      <c r="K183">
        <v>1</v>
      </c>
    </row>
    <row r="184" spans="1:11" x14ac:dyDescent="0.35">
      <c r="A184" t="s">
        <v>327</v>
      </c>
      <c r="B184" t="s">
        <v>272</v>
      </c>
      <c r="C184">
        <v>12</v>
      </c>
      <c r="D184" t="s">
        <v>331</v>
      </c>
      <c r="E184" t="s">
        <v>331</v>
      </c>
      <c r="F184" t="s">
        <v>330</v>
      </c>
      <c r="G184">
        <v>3</v>
      </c>
      <c r="I184">
        <v>-146462.3815066698</v>
      </c>
      <c r="J184">
        <v>-113920.9301963734</v>
      </c>
      <c r="K184">
        <v>1</v>
      </c>
    </row>
    <row r="185" spans="1:11" x14ac:dyDescent="0.35">
      <c r="A185" t="s">
        <v>327</v>
      </c>
      <c r="B185" t="s">
        <v>299</v>
      </c>
      <c r="C185" t="s">
        <v>317</v>
      </c>
      <c r="D185" t="s">
        <v>332</v>
      </c>
      <c r="E185" t="s">
        <v>332</v>
      </c>
      <c r="F185" t="s">
        <v>66</v>
      </c>
      <c r="G185">
        <v>1</v>
      </c>
      <c r="H185">
        <v>1</v>
      </c>
      <c r="I185">
        <v>-80.838205247433294</v>
      </c>
      <c r="J185">
        <v>-80.838205247433294</v>
      </c>
      <c r="K185">
        <v>1</v>
      </c>
    </row>
    <row r="186" spans="1:11" x14ac:dyDescent="0.35">
      <c r="A186" t="s">
        <v>327</v>
      </c>
      <c r="B186" t="s">
        <v>299</v>
      </c>
      <c r="C186" t="s">
        <v>317</v>
      </c>
      <c r="D186" t="s">
        <v>333</v>
      </c>
      <c r="E186" t="s">
        <v>333</v>
      </c>
      <c r="F186" t="s">
        <v>66</v>
      </c>
      <c r="G186">
        <v>1</v>
      </c>
      <c r="H186">
        <v>3</v>
      </c>
      <c r="I186">
        <v>-81.059831581216528</v>
      </c>
      <c r="J186">
        <v>-81.059831581216528</v>
      </c>
      <c r="K186">
        <v>1</v>
      </c>
    </row>
    <row r="187" spans="1:11" x14ac:dyDescent="0.35">
      <c r="A187" t="s">
        <v>327</v>
      </c>
      <c r="B187" t="s">
        <v>299</v>
      </c>
      <c r="C187" t="s">
        <v>317</v>
      </c>
      <c r="D187" t="s">
        <v>334</v>
      </c>
      <c r="E187" t="s">
        <v>334</v>
      </c>
      <c r="F187" t="s">
        <v>144</v>
      </c>
      <c r="G187">
        <v>3</v>
      </c>
      <c r="H187">
        <v>0.5</v>
      </c>
      <c r="I187">
        <v>-0.27727492031555839</v>
      </c>
      <c r="J187">
        <v>-0.27727492031555839</v>
      </c>
      <c r="K187">
        <v>1</v>
      </c>
    </row>
    <row r="188" spans="1:11" x14ac:dyDescent="0.35">
      <c r="A188" t="s">
        <v>327</v>
      </c>
      <c r="B188" t="s">
        <v>299</v>
      </c>
      <c r="C188" t="s">
        <v>317</v>
      </c>
      <c r="D188" t="s">
        <v>335</v>
      </c>
      <c r="E188" t="s">
        <v>335</v>
      </c>
      <c r="F188" t="s">
        <v>144</v>
      </c>
      <c r="G188">
        <v>3</v>
      </c>
      <c r="H188">
        <v>1</v>
      </c>
      <c r="I188">
        <v>-143.1067127309384</v>
      </c>
      <c r="J188">
        <v>-143.1067127309384</v>
      </c>
      <c r="K188">
        <v>3</v>
      </c>
    </row>
    <row r="189" spans="1:11" x14ac:dyDescent="0.35">
      <c r="A189" t="s">
        <v>327</v>
      </c>
      <c r="B189" t="s">
        <v>299</v>
      </c>
      <c r="C189" t="s">
        <v>317</v>
      </c>
      <c r="D189" t="s">
        <v>336</v>
      </c>
      <c r="E189" t="s">
        <v>336</v>
      </c>
      <c r="F189" t="s">
        <v>66</v>
      </c>
      <c r="G189">
        <v>3</v>
      </c>
      <c r="H189">
        <v>3</v>
      </c>
      <c r="I189">
        <v>-35.65437257450877</v>
      </c>
      <c r="J189">
        <v>-35.65437257450877</v>
      </c>
      <c r="K189">
        <v>2</v>
      </c>
    </row>
    <row r="190" spans="1:11" x14ac:dyDescent="0.35">
      <c r="A190" t="s">
        <v>327</v>
      </c>
      <c r="B190" t="s">
        <v>299</v>
      </c>
      <c r="C190" t="s">
        <v>317</v>
      </c>
      <c r="D190" t="s">
        <v>337</v>
      </c>
      <c r="E190" t="s">
        <v>337</v>
      </c>
      <c r="F190" t="s">
        <v>144</v>
      </c>
      <c r="G190">
        <v>5</v>
      </c>
      <c r="H190">
        <v>0.5</v>
      </c>
      <c r="I190">
        <v>-0.1181361666351794</v>
      </c>
      <c r="J190">
        <v>-0.1181361666351794</v>
      </c>
      <c r="K190">
        <v>1</v>
      </c>
    </row>
    <row r="191" spans="1:11" x14ac:dyDescent="0.35">
      <c r="A191" t="s">
        <v>327</v>
      </c>
      <c r="B191" t="s">
        <v>299</v>
      </c>
      <c r="C191" t="s">
        <v>317</v>
      </c>
      <c r="D191" t="s">
        <v>338</v>
      </c>
      <c r="E191" t="s">
        <v>338</v>
      </c>
      <c r="F191" t="s">
        <v>144</v>
      </c>
      <c r="G191">
        <v>5</v>
      </c>
      <c r="H191">
        <v>1</v>
      </c>
      <c r="I191">
        <v>-18.56691747167978</v>
      </c>
      <c r="J191">
        <v>-18.56691747167978</v>
      </c>
      <c r="K191">
        <v>2</v>
      </c>
    </row>
    <row r="192" spans="1:11" x14ac:dyDescent="0.35">
      <c r="A192" t="s">
        <v>327</v>
      </c>
      <c r="B192" t="s">
        <v>299</v>
      </c>
      <c r="C192" t="s">
        <v>317</v>
      </c>
      <c r="D192" t="s">
        <v>339</v>
      </c>
      <c r="E192" t="s">
        <v>339</v>
      </c>
      <c r="F192" t="s">
        <v>70</v>
      </c>
      <c r="G192">
        <v>5</v>
      </c>
      <c r="H192">
        <v>3</v>
      </c>
      <c r="I192">
        <v>-0.46863804364601092</v>
      </c>
      <c r="J192">
        <v>-0.46863804364601092</v>
      </c>
      <c r="K192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O480"/>
  <sheetViews>
    <sheetView topLeftCell="A182" workbookViewId="0">
      <selection sqref="A1:O481"/>
    </sheetView>
  </sheetViews>
  <sheetFormatPr defaultRowHeight="14.5" x14ac:dyDescent="0.35"/>
  <sheetData>
    <row r="1" spans="1:15" x14ac:dyDescent="0.35">
      <c r="A1" s="1" t="s">
        <v>12</v>
      </c>
      <c r="B1" s="1" t="s">
        <v>13</v>
      </c>
      <c r="C1" s="1" t="s">
        <v>14</v>
      </c>
      <c r="D1" s="1" t="s">
        <v>15</v>
      </c>
      <c r="E1" s="1" t="s">
        <v>340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341</v>
      </c>
      <c r="K1" s="1" t="s">
        <v>342</v>
      </c>
      <c r="L1" s="1" t="s">
        <v>343</v>
      </c>
      <c r="M1" s="1" t="s">
        <v>344</v>
      </c>
      <c r="N1" s="1" t="s">
        <v>345</v>
      </c>
      <c r="O1" s="1" t="s">
        <v>346</v>
      </c>
    </row>
    <row r="2" spans="1:15" hidden="1" x14ac:dyDescent="0.35">
      <c r="A2" t="s">
        <v>23</v>
      </c>
      <c r="B2" t="s">
        <v>24</v>
      </c>
      <c r="C2">
        <v>2</v>
      </c>
      <c r="D2" t="s">
        <v>25</v>
      </c>
      <c r="E2">
        <v>52</v>
      </c>
      <c r="F2" t="s">
        <v>25</v>
      </c>
      <c r="G2" t="s">
        <v>26</v>
      </c>
      <c r="J2">
        <v>2090050</v>
      </c>
      <c r="K2">
        <v>0.35</v>
      </c>
      <c r="L2">
        <v>1</v>
      </c>
      <c r="N2">
        <v>0.35</v>
      </c>
      <c r="O2">
        <v>731517.5</v>
      </c>
    </row>
    <row r="3" spans="1:15" hidden="1" x14ac:dyDescent="0.35">
      <c r="A3" t="s">
        <v>23</v>
      </c>
      <c r="B3" t="s">
        <v>24</v>
      </c>
      <c r="C3">
        <v>2</v>
      </c>
      <c r="D3" t="s">
        <v>25</v>
      </c>
      <c r="E3">
        <v>54</v>
      </c>
      <c r="F3" t="s">
        <v>25</v>
      </c>
      <c r="G3" t="s">
        <v>347</v>
      </c>
      <c r="J3">
        <v>1254030</v>
      </c>
      <c r="K3">
        <v>0.35</v>
      </c>
      <c r="L3">
        <v>1</v>
      </c>
      <c r="N3">
        <v>0.35</v>
      </c>
      <c r="O3">
        <v>438910.5</v>
      </c>
    </row>
    <row r="4" spans="1:15" hidden="1" x14ac:dyDescent="0.35">
      <c r="A4" t="s">
        <v>23</v>
      </c>
      <c r="B4" t="s">
        <v>24</v>
      </c>
      <c r="C4">
        <v>2</v>
      </c>
      <c r="D4" t="s">
        <v>25</v>
      </c>
      <c r="E4">
        <v>56</v>
      </c>
      <c r="F4" t="s">
        <v>25</v>
      </c>
      <c r="G4" t="s">
        <v>348</v>
      </c>
      <c r="J4">
        <v>836020.00000000012</v>
      </c>
      <c r="K4">
        <v>0.35</v>
      </c>
      <c r="L4">
        <v>1</v>
      </c>
      <c r="N4">
        <v>0.35</v>
      </c>
      <c r="O4">
        <v>292607</v>
      </c>
    </row>
    <row r="5" spans="1:15" hidden="1" x14ac:dyDescent="0.35">
      <c r="A5" t="s">
        <v>23</v>
      </c>
      <c r="B5" t="s">
        <v>24</v>
      </c>
      <c r="C5">
        <v>2</v>
      </c>
      <c r="D5" t="s">
        <v>27</v>
      </c>
      <c r="E5">
        <v>52</v>
      </c>
      <c r="F5" t="s">
        <v>27</v>
      </c>
      <c r="G5" t="s">
        <v>26</v>
      </c>
      <c r="J5">
        <v>722650</v>
      </c>
      <c r="K5">
        <v>0.35</v>
      </c>
      <c r="L5">
        <v>1</v>
      </c>
      <c r="N5">
        <v>0.35</v>
      </c>
      <c r="O5">
        <v>252927.5</v>
      </c>
    </row>
    <row r="6" spans="1:15" hidden="1" x14ac:dyDescent="0.35">
      <c r="A6" t="s">
        <v>23</v>
      </c>
      <c r="B6" t="s">
        <v>24</v>
      </c>
      <c r="C6">
        <v>2</v>
      </c>
      <c r="D6" t="s">
        <v>27</v>
      </c>
      <c r="E6">
        <v>54</v>
      </c>
      <c r="F6" t="s">
        <v>27</v>
      </c>
      <c r="G6" t="s">
        <v>347</v>
      </c>
      <c r="J6">
        <v>433590</v>
      </c>
      <c r="K6">
        <v>0.35</v>
      </c>
      <c r="L6">
        <v>1</v>
      </c>
      <c r="N6">
        <v>0.35</v>
      </c>
      <c r="O6">
        <v>151756.5</v>
      </c>
    </row>
    <row r="7" spans="1:15" hidden="1" x14ac:dyDescent="0.35">
      <c r="A7" t="s">
        <v>23</v>
      </c>
      <c r="B7" t="s">
        <v>24</v>
      </c>
      <c r="C7">
        <v>2</v>
      </c>
      <c r="D7" t="s">
        <v>27</v>
      </c>
      <c r="E7">
        <v>56</v>
      </c>
      <c r="F7" t="s">
        <v>27</v>
      </c>
      <c r="G7" t="s">
        <v>348</v>
      </c>
      <c r="J7">
        <v>289060</v>
      </c>
      <c r="K7">
        <v>0.35</v>
      </c>
      <c r="L7">
        <v>1</v>
      </c>
      <c r="N7">
        <v>0.35</v>
      </c>
      <c r="O7">
        <v>101171</v>
      </c>
    </row>
    <row r="8" spans="1:15" hidden="1" x14ac:dyDescent="0.35">
      <c r="A8" t="s">
        <v>23</v>
      </c>
      <c r="B8" t="s">
        <v>24</v>
      </c>
      <c r="C8">
        <v>2</v>
      </c>
      <c r="D8" t="s">
        <v>28</v>
      </c>
      <c r="E8">
        <v>52</v>
      </c>
      <c r="F8" t="s">
        <v>28</v>
      </c>
      <c r="G8" t="s">
        <v>26</v>
      </c>
      <c r="J8">
        <v>538675</v>
      </c>
      <c r="K8">
        <v>0.35</v>
      </c>
      <c r="L8">
        <v>1</v>
      </c>
      <c r="N8">
        <v>0.35</v>
      </c>
      <c r="O8">
        <v>188536.25</v>
      </c>
    </row>
    <row r="9" spans="1:15" hidden="1" x14ac:dyDescent="0.35">
      <c r="A9" t="s">
        <v>23</v>
      </c>
      <c r="B9" t="s">
        <v>24</v>
      </c>
      <c r="C9">
        <v>2</v>
      </c>
      <c r="D9" t="s">
        <v>28</v>
      </c>
      <c r="E9">
        <v>54</v>
      </c>
      <c r="F9" t="s">
        <v>28</v>
      </c>
      <c r="G9" t="s">
        <v>347</v>
      </c>
      <c r="J9">
        <v>323205</v>
      </c>
      <c r="K9">
        <v>0.35</v>
      </c>
      <c r="L9">
        <v>1</v>
      </c>
      <c r="N9">
        <v>0.35</v>
      </c>
      <c r="O9">
        <v>113121.75</v>
      </c>
    </row>
    <row r="10" spans="1:15" hidden="1" x14ac:dyDescent="0.35">
      <c r="A10" t="s">
        <v>23</v>
      </c>
      <c r="B10" t="s">
        <v>24</v>
      </c>
      <c r="C10">
        <v>2</v>
      </c>
      <c r="D10" t="s">
        <v>28</v>
      </c>
      <c r="E10">
        <v>56</v>
      </c>
      <c r="F10" t="s">
        <v>28</v>
      </c>
      <c r="G10" t="s">
        <v>348</v>
      </c>
      <c r="J10">
        <v>215470</v>
      </c>
      <c r="K10">
        <v>0.35</v>
      </c>
      <c r="L10">
        <v>1</v>
      </c>
      <c r="N10">
        <v>0.35</v>
      </c>
      <c r="O10">
        <v>75414.5</v>
      </c>
    </row>
    <row r="11" spans="1:15" hidden="1" x14ac:dyDescent="0.35">
      <c r="A11" t="s">
        <v>23</v>
      </c>
      <c r="B11" t="s">
        <v>24</v>
      </c>
      <c r="C11">
        <v>2</v>
      </c>
      <c r="D11" t="s">
        <v>29</v>
      </c>
      <c r="E11">
        <v>52</v>
      </c>
      <c r="F11" t="s">
        <v>29</v>
      </c>
      <c r="G11" t="s">
        <v>26</v>
      </c>
      <c r="J11">
        <v>548075</v>
      </c>
      <c r="K11">
        <v>0.35</v>
      </c>
      <c r="L11">
        <v>1</v>
      </c>
      <c r="N11">
        <v>0.35</v>
      </c>
      <c r="O11">
        <v>191826.25</v>
      </c>
    </row>
    <row r="12" spans="1:15" hidden="1" x14ac:dyDescent="0.35">
      <c r="A12" t="s">
        <v>23</v>
      </c>
      <c r="B12" t="s">
        <v>24</v>
      </c>
      <c r="C12">
        <v>2</v>
      </c>
      <c r="D12" t="s">
        <v>29</v>
      </c>
      <c r="E12">
        <v>54</v>
      </c>
      <c r="F12" t="s">
        <v>29</v>
      </c>
      <c r="G12" t="s">
        <v>347</v>
      </c>
      <c r="J12">
        <v>328844.99999999988</v>
      </c>
      <c r="K12">
        <v>0.35</v>
      </c>
      <c r="L12">
        <v>1</v>
      </c>
      <c r="N12">
        <v>0.35</v>
      </c>
      <c r="O12">
        <v>115095.75</v>
      </c>
    </row>
    <row r="13" spans="1:15" hidden="1" x14ac:dyDescent="0.35">
      <c r="A13" t="s">
        <v>23</v>
      </c>
      <c r="B13" t="s">
        <v>24</v>
      </c>
      <c r="C13">
        <v>2</v>
      </c>
      <c r="D13" t="s">
        <v>29</v>
      </c>
      <c r="E13">
        <v>56</v>
      </c>
      <c r="F13" t="s">
        <v>29</v>
      </c>
      <c r="G13" t="s">
        <v>348</v>
      </c>
      <c r="J13">
        <v>219230</v>
      </c>
      <c r="K13">
        <v>0.35</v>
      </c>
      <c r="L13">
        <v>1</v>
      </c>
      <c r="N13">
        <v>0.35</v>
      </c>
      <c r="O13">
        <v>76730.5</v>
      </c>
    </row>
    <row r="14" spans="1:15" hidden="1" x14ac:dyDescent="0.35">
      <c r="A14" t="s">
        <v>23</v>
      </c>
      <c r="B14" t="s">
        <v>24</v>
      </c>
      <c r="C14">
        <v>2</v>
      </c>
      <c r="D14" t="s">
        <v>30</v>
      </c>
      <c r="E14">
        <v>52</v>
      </c>
      <c r="F14" t="s">
        <v>30</v>
      </c>
      <c r="G14" t="s">
        <v>26</v>
      </c>
      <c r="J14">
        <v>1659950</v>
      </c>
      <c r="K14">
        <v>0.35</v>
      </c>
      <c r="L14">
        <v>1</v>
      </c>
      <c r="N14">
        <v>0.35</v>
      </c>
      <c r="O14">
        <v>580982.5</v>
      </c>
    </row>
    <row r="15" spans="1:15" hidden="1" x14ac:dyDescent="0.35">
      <c r="A15" t="s">
        <v>23</v>
      </c>
      <c r="B15" t="s">
        <v>24</v>
      </c>
      <c r="C15">
        <v>2</v>
      </c>
      <c r="D15" t="s">
        <v>30</v>
      </c>
      <c r="E15">
        <v>54</v>
      </c>
      <c r="F15" t="s">
        <v>30</v>
      </c>
      <c r="G15" t="s">
        <v>347</v>
      </c>
      <c r="J15">
        <v>995970</v>
      </c>
      <c r="K15">
        <v>0.35</v>
      </c>
      <c r="L15">
        <v>1</v>
      </c>
      <c r="N15">
        <v>0.35</v>
      </c>
      <c r="O15">
        <v>348589.5</v>
      </c>
    </row>
    <row r="16" spans="1:15" hidden="1" x14ac:dyDescent="0.35">
      <c r="A16" t="s">
        <v>23</v>
      </c>
      <c r="B16" t="s">
        <v>24</v>
      </c>
      <c r="C16">
        <v>2</v>
      </c>
      <c r="D16" t="s">
        <v>30</v>
      </c>
      <c r="E16">
        <v>56</v>
      </c>
      <c r="F16" t="s">
        <v>30</v>
      </c>
      <c r="G16" t="s">
        <v>348</v>
      </c>
      <c r="J16">
        <v>663980</v>
      </c>
      <c r="K16">
        <v>0.35</v>
      </c>
      <c r="L16">
        <v>1</v>
      </c>
      <c r="N16">
        <v>0.35</v>
      </c>
      <c r="O16">
        <v>232393</v>
      </c>
    </row>
    <row r="17" spans="1:15" hidden="1" x14ac:dyDescent="0.35">
      <c r="A17" t="s">
        <v>23</v>
      </c>
      <c r="B17" t="s">
        <v>24</v>
      </c>
      <c r="C17">
        <v>5</v>
      </c>
      <c r="D17" t="s">
        <v>31</v>
      </c>
      <c r="E17">
        <v>52</v>
      </c>
      <c r="F17" t="s">
        <v>31</v>
      </c>
      <c r="G17" t="s">
        <v>26</v>
      </c>
      <c r="J17">
        <v>992650</v>
      </c>
      <c r="K17">
        <v>0.4</v>
      </c>
      <c r="L17">
        <v>1</v>
      </c>
      <c r="N17">
        <v>0.4</v>
      </c>
      <c r="O17">
        <v>397060</v>
      </c>
    </row>
    <row r="18" spans="1:15" hidden="1" x14ac:dyDescent="0.35">
      <c r="A18" t="s">
        <v>23</v>
      </c>
      <c r="B18" t="s">
        <v>24</v>
      </c>
      <c r="C18">
        <v>5</v>
      </c>
      <c r="D18" t="s">
        <v>31</v>
      </c>
      <c r="E18">
        <v>54</v>
      </c>
      <c r="F18" t="s">
        <v>31</v>
      </c>
      <c r="G18" t="s">
        <v>347</v>
      </c>
      <c r="J18">
        <v>595590</v>
      </c>
      <c r="K18">
        <v>0.4</v>
      </c>
      <c r="L18">
        <v>1</v>
      </c>
      <c r="N18">
        <v>0.4</v>
      </c>
      <c r="O18">
        <v>238236</v>
      </c>
    </row>
    <row r="19" spans="1:15" hidden="1" x14ac:dyDescent="0.35">
      <c r="A19" t="s">
        <v>23</v>
      </c>
      <c r="B19" t="s">
        <v>24</v>
      </c>
      <c r="C19">
        <v>5</v>
      </c>
      <c r="D19" t="s">
        <v>31</v>
      </c>
      <c r="E19">
        <v>56</v>
      </c>
      <c r="F19" t="s">
        <v>31</v>
      </c>
      <c r="G19" t="s">
        <v>348</v>
      </c>
      <c r="J19">
        <v>397060</v>
      </c>
      <c r="K19">
        <v>0.4</v>
      </c>
      <c r="L19">
        <v>1</v>
      </c>
      <c r="N19">
        <v>0.4</v>
      </c>
      <c r="O19">
        <v>158824</v>
      </c>
    </row>
    <row r="20" spans="1:15" hidden="1" x14ac:dyDescent="0.35">
      <c r="A20" t="s">
        <v>23</v>
      </c>
      <c r="B20" t="s">
        <v>24</v>
      </c>
      <c r="C20">
        <v>5</v>
      </c>
      <c r="D20" t="s">
        <v>32</v>
      </c>
      <c r="E20">
        <v>52</v>
      </c>
      <c r="F20" t="s">
        <v>32</v>
      </c>
      <c r="G20" t="s">
        <v>26</v>
      </c>
      <c r="J20">
        <v>1590500</v>
      </c>
      <c r="K20">
        <v>0.4</v>
      </c>
      <c r="L20">
        <v>1</v>
      </c>
      <c r="N20">
        <v>0.4</v>
      </c>
      <c r="O20">
        <v>636200</v>
      </c>
    </row>
    <row r="21" spans="1:15" hidden="1" x14ac:dyDescent="0.35">
      <c r="A21" t="s">
        <v>23</v>
      </c>
      <c r="B21" t="s">
        <v>24</v>
      </c>
      <c r="C21">
        <v>5</v>
      </c>
      <c r="D21" t="s">
        <v>32</v>
      </c>
      <c r="E21">
        <v>54</v>
      </c>
      <c r="F21" t="s">
        <v>32</v>
      </c>
      <c r="G21" t="s">
        <v>347</v>
      </c>
      <c r="J21">
        <v>954299.99999999988</v>
      </c>
      <c r="K21">
        <v>0.4</v>
      </c>
      <c r="L21">
        <v>1</v>
      </c>
      <c r="N21">
        <v>0.4</v>
      </c>
      <c r="O21">
        <v>381720</v>
      </c>
    </row>
    <row r="22" spans="1:15" hidden="1" x14ac:dyDescent="0.35">
      <c r="A22" t="s">
        <v>23</v>
      </c>
      <c r="B22" t="s">
        <v>24</v>
      </c>
      <c r="C22">
        <v>5</v>
      </c>
      <c r="D22" t="s">
        <v>32</v>
      </c>
      <c r="E22">
        <v>56</v>
      </c>
      <c r="F22" t="s">
        <v>32</v>
      </c>
      <c r="G22" t="s">
        <v>348</v>
      </c>
      <c r="J22">
        <v>636200</v>
      </c>
      <c r="K22">
        <v>0.4</v>
      </c>
      <c r="L22">
        <v>1</v>
      </c>
      <c r="N22">
        <v>0.4</v>
      </c>
      <c r="O22">
        <v>254480</v>
      </c>
    </row>
    <row r="23" spans="1:15" hidden="1" x14ac:dyDescent="0.35">
      <c r="A23" t="s">
        <v>23</v>
      </c>
      <c r="B23" t="s">
        <v>24</v>
      </c>
      <c r="C23">
        <v>5</v>
      </c>
      <c r="D23" t="s">
        <v>33</v>
      </c>
      <c r="E23">
        <v>52</v>
      </c>
      <c r="F23" t="s">
        <v>33</v>
      </c>
      <c r="G23" t="s">
        <v>26</v>
      </c>
      <c r="J23">
        <v>237450</v>
      </c>
      <c r="K23">
        <v>0.4</v>
      </c>
      <c r="L23">
        <v>1</v>
      </c>
      <c r="N23">
        <v>0.4</v>
      </c>
      <c r="O23">
        <v>94980</v>
      </c>
    </row>
    <row r="24" spans="1:15" hidden="1" x14ac:dyDescent="0.35">
      <c r="A24" t="s">
        <v>23</v>
      </c>
      <c r="B24" t="s">
        <v>24</v>
      </c>
      <c r="C24">
        <v>5</v>
      </c>
      <c r="D24" t="s">
        <v>33</v>
      </c>
      <c r="E24">
        <v>54</v>
      </c>
      <c r="F24" t="s">
        <v>33</v>
      </c>
      <c r="G24" t="s">
        <v>347</v>
      </c>
      <c r="J24">
        <v>142470</v>
      </c>
      <c r="K24">
        <v>0.4</v>
      </c>
      <c r="L24">
        <v>1</v>
      </c>
      <c r="N24">
        <v>0.4</v>
      </c>
      <c r="O24">
        <v>56988</v>
      </c>
    </row>
    <row r="25" spans="1:15" hidden="1" x14ac:dyDescent="0.35">
      <c r="A25" t="s">
        <v>23</v>
      </c>
      <c r="B25" t="s">
        <v>24</v>
      </c>
      <c r="C25">
        <v>5</v>
      </c>
      <c r="D25" t="s">
        <v>33</v>
      </c>
      <c r="E25">
        <v>56</v>
      </c>
      <c r="F25" t="s">
        <v>33</v>
      </c>
      <c r="G25" t="s">
        <v>348</v>
      </c>
      <c r="J25">
        <v>94980</v>
      </c>
      <c r="K25">
        <v>0.4</v>
      </c>
      <c r="L25">
        <v>1</v>
      </c>
      <c r="N25">
        <v>0.4</v>
      </c>
      <c r="O25">
        <v>37992</v>
      </c>
    </row>
    <row r="26" spans="1:15" hidden="1" x14ac:dyDescent="0.35">
      <c r="A26" t="s">
        <v>23</v>
      </c>
      <c r="B26" t="s">
        <v>24</v>
      </c>
      <c r="C26">
        <v>5</v>
      </c>
      <c r="D26" t="s">
        <v>34</v>
      </c>
      <c r="E26">
        <v>52</v>
      </c>
      <c r="F26" t="s">
        <v>34</v>
      </c>
      <c r="G26" t="s">
        <v>26</v>
      </c>
      <c r="J26">
        <v>556950</v>
      </c>
      <c r="K26">
        <v>0.4</v>
      </c>
      <c r="L26">
        <v>1</v>
      </c>
      <c r="N26">
        <v>0.4</v>
      </c>
      <c r="O26">
        <v>222780</v>
      </c>
    </row>
    <row r="27" spans="1:15" hidden="1" x14ac:dyDescent="0.35">
      <c r="A27" t="s">
        <v>23</v>
      </c>
      <c r="B27" t="s">
        <v>24</v>
      </c>
      <c r="C27">
        <v>5</v>
      </c>
      <c r="D27" t="s">
        <v>34</v>
      </c>
      <c r="E27">
        <v>54</v>
      </c>
      <c r="F27" t="s">
        <v>34</v>
      </c>
      <c r="G27" t="s">
        <v>347</v>
      </c>
      <c r="J27">
        <v>334170</v>
      </c>
      <c r="K27">
        <v>0.4</v>
      </c>
      <c r="L27">
        <v>1</v>
      </c>
      <c r="N27">
        <v>0.4</v>
      </c>
      <c r="O27">
        <v>133668</v>
      </c>
    </row>
    <row r="28" spans="1:15" hidden="1" x14ac:dyDescent="0.35">
      <c r="A28" t="s">
        <v>23</v>
      </c>
      <c r="B28" t="s">
        <v>24</v>
      </c>
      <c r="C28">
        <v>5</v>
      </c>
      <c r="D28" t="s">
        <v>34</v>
      </c>
      <c r="E28">
        <v>56</v>
      </c>
      <c r="F28" t="s">
        <v>34</v>
      </c>
      <c r="G28" t="s">
        <v>348</v>
      </c>
      <c r="J28">
        <v>222780</v>
      </c>
      <c r="K28">
        <v>0.4</v>
      </c>
      <c r="L28">
        <v>1</v>
      </c>
      <c r="N28">
        <v>0.4</v>
      </c>
      <c r="O28">
        <v>89112</v>
      </c>
    </row>
    <row r="29" spans="1:15" hidden="1" x14ac:dyDescent="0.35">
      <c r="A29" t="s">
        <v>23</v>
      </c>
      <c r="B29" t="s">
        <v>24</v>
      </c>
      <c r="C29">
        <v>5</v>
      </c>
      <c r="D29" t="s">
        <v>35</v>
      </c>
      <c r="E29">
        <v>52</v>
      </c>
      <c r="F29" t="s">
        <v>35</v>
      </c>
      <c r="G29" t="s">
        <v>26</v>
      </c>
      <c r="J29">
        <v>562475</v>
      </c>
      <c r="K29">
        <v>0.4</v>
      </c>
      <c r="L29">
        <v>1</v>
      </c>
      <c r="N29">
        <v>0.4</v>
      </c>
      <c r="O29">
        <v>224990</v>
      </c>
    </row>
    <row r="30" spans="1:15" hidden="1" x14ac:dyDescent="0.35">
      <c r="A30" t="s">
        <v>23</v>
      </c>
      <c r="B30" t="s">
        <v>24</v>
      </c>
      <c r="C30">
        <v>5</v>
      </c>
      <c r="D30" t="s">
        <v>35</v>
      </c>
      <c r="E30">
        <v>54</v>
      </c>
      <c r="F30" t="s">
        <v>35</v>
      </c>
      <c r="G30" t="s">
        <v>347</v>
      </c>
      <c r="J30">
        <v>337485</v>
      </c>
      <c r="K30">
        <v>0.4</v>
      </c>
      <c r="L30">
        <v>1</v>
      </c>
      <c r="N30">
        <v>0.4</v>
      </c>
      <c r="O30">
        <v>134994</v>
      </c>
    </row>
    <row r="31" spans="1:15" hidden="1" x14ac:dyDescent="0.35">
      <c r="A31" t="s">
        <v>23</v>
      </c>
      <c r="B31" t="s">
        <v>24</v>
      </c>
      <c r="C31">
        <v>5</v>
      </c>
      <c r="D31" t="s">
        <v>35</v>
      </c>
      <c r="E31">
        <v>56</v>
      </c>
      <c r="F31" t="s">
        <v>35</v>
      </c>
      <c r="G31" t="s">
        <v>348</v>
      </c>
      <c r="J31">
        <v>224990</v>
      </c>
      <c r="K31">
        <v>0.4</v>
      </c>
      <c r="L31">
        <v>1</v>
      </c>
      <c r="N31">
        <v>0.4</v>
      </c>
      <c r="O31">
        <v>89996</v>
      </c>
    </row>
    <row r="32" spans="1:15" hidden="1" x14ac:dyDescent="0.35">
      <c r="A32" t="s">
        <v>23</v>
      </c>
      <c r="B32" t="s">
        <v>24</v>
      </c>
      <c r="C32">
        <v>6</v>
      </c>
      <c r="D32" t="s">
        <v>36</v>
      </c>
      <c r="E32">
        <v>52</v>
      </c>
      <c r="F32" t="s">
        <v>36</v>
      </c>
      <c r="G32" t="s">
        <v>26</v>
      </c>
      <c r="J32">
        <v>1799475</v>
      </c>
      <c r="K32">
        <v>0.45</v>
      </c>
      <c r="L32">
        <v>1</v>
      </c>
      <c r="N32">
        <v>0.45</v>
      </c>
      <c r="O32">
        <v>809763.75</v>
      </c>
    </row>
    <row r="33" spans="1:15" hidden="1" x14ac:dyDescent="0.35">
      <c r="A33" t="s">
        <v>23</v>
      </c>
      <c r="B33" t="s">
        <v>24</v>
      </c>
      <c r="C33">
        <v>6</v>
      </c>
      <c r="D33" t="s">
        <v>36</v>
      </c>
      <c r="E33">
        <v>54</v>
      </c>
      <c r="F33" t="s">
        <v>36</v>
      </c>
      <c r="G33" t="s">
        <v>347</v>
      </c>
      <c r="J33">
        <v>1079685</v>
      </c>
      <c r="K33">
        <v>0.45</v>
      </c>
      <c r="L33">
        <v>1</v>
      </c>
      <c r="N33">
        <v>0.45</v>
      </c>
      <c r="O33">
        <v>485858.25</v>
      </c>
    </row>
    <row r="34" spans="1:15" hidden="1" x14ac:dyDescent="0.35">
      <c r="A34" t="s">
        <v>23</v>
      </c>
      <c r="B34" t="s">
        <v>24</v>
      </c>
      <c r="C34">
        <v>6</v>
      </c>
      <c r="D34" t="s">
        <v>36</v>
      </c>
      <c r="E34">
        <v>56</v>
      </c>
      <c r="F34" t="s">
        <v>36</v>
      </c>
      <c r="G34" t="s">
        <v>348</v>
      </c>
      <c r="J34">
        <v>719790</v>
      </c>
      <c r="K34">
        <v>0.45</v>
      </c>
      <c r="L34">
        <v>1</v>
      </c>
      <c r="N34">
        <v>0.45</v>
      </c>
      <c r="O34">
        <v>323905.5</v>
      </c>
    </row>
    <row r="35" spans="1:15" hidden="1" x14ac:dyDescent="0.35">
      <c r="A35" t="s">
        <v>23</v>
      </c>
      <c r="B35" t="s">
        <v>24</v>
      </c>
      <c r="C35">
        <v>7</v>
      </c>
      <c r="D35" t="s">
        <v>37</v>
      </c>
      <c r="E35">
        <v>52</v>
      </c>
      <c r="F35" t="s">
        <v>37</v>
      </c>
      <c r="G35" t="s">
        <v>26</v>
      </c>
      <c r="J35">
        <v>3723925</v>
      </c>
      <c r="K35">
        <v>0.2</v>
      </c>
      <c r="L35">
        <v>1</v>
      </c>
      <c r="N35">
        <v>0.2</v>
      </c>
      <c r="O35">
        <v>744785</v>
      </c>
    </row>
    <row r="36" spans="1:15" hidden="1" x14ac:dyDescent="0.35">
      <c r="A36" t="s">
        <v>23</v>
      </c>
      <c r="B36" t="s">
        <v>24</v>
      </c>
      <c r="C36">
        <v>7</v>
      </c>
      <c r="D36" t="s">
        <v>37</v>
      </c>
      <c r="E36">
        <v>54</v>
      </c>
      <c r="F36" t="s">
        <v>37</v>
      </c>
      <c r="G36" t="s">
        <v>347</v>
      </c>
      <c r="J36">
        <v>2234355</v>
      </c>
      <c r="K36">
        <v>0.2</v>
      </c>
      <c r="L36">
        <v>1</v>
      </c>
      <c r="N36">
        <v>0.2</v>
      </c>
      <c r="O36">
        <v>446871</v>
      </c>
    </row>
    <row r="37" spans="1:15" hidden="1" x14ac:dyDescent="0.35">
      <c r="A37" t="s">
        <v>23</v>
      </c>
      <c r="B37" t="s">
        <v>24</v>
      </c>
      <c r="C37">
        <v>7</v>
      </c>
      <c r="D37" t="s">
        <v>37</v>
      </c>
      <c r="E37">
        <v>56</v>
      </c>
      <c r="F37" t="s">
        <v>37</v>
      </c>
      <c r="G37" t="s">
        <v>348</v>
      </c>
      <c r="J37">
        <v>1489570</v>
      </c>
      <c r="K37">
        <v>0.2</v>
      </c>
      <c r="L37">
        <v>1</v>
      </c>
      <c r="N37">
        <v>0.2</v>
      </c>
      <c r="O37">
        <v>297914</v>
      </c>
    </row>
    <row r="38" spans="1:15" hidden="1" x14ac:dyDescent="0.35">
      <c r="A38" t="s">
        <v>23</v>
      </c>
      <c r="B38" t="s">
        <v>24</v>
      </c>
      <c r="C38">
        <v>7</v>
      </c>
      <c r="D38" t="s">
        <v>38</v>
      </c>
      <c r="E38">
        <v>52</v>
      </c>
      <c r="F38" t="s">
        <v>38</v>
      </c>
      <c r="G38" t="s">
        <v>26</v>
      </c>
      <c r="J38">
        <v>985900</v>
      </c>
      <c r="K38">
        <v>0.2</v>
      </c>
      <c r="L38">
        <v>1</v>
      </c>
      <c r="N38">
        <v>0.2</v>
      </c>
      <c r="O38">
        <v>197180</v>
      </c>
    </row>
    <row r="39" spans="1:15" hidden="1" x14ac:dyDescent="0.35">
      <c r="A39" t="s">
        <v>23</v>
      </c>
      <c r="B39" t="s">
        <v>24</v>
      </c>
      <c r="C39">
        <v>7</v>
      </c>
      <c r="D39" t="s">
        <v>38</v>
      </c>
      <c r="E39">
        <v>54</v>
      </c>
      <c r="F39" t="s">
        <v>38</v>
      </c>
      <c r="G39" t="s">
        <v>347</v>
      </c>
      <c r="J39">
        <v>591540</v>
      </c>
      <c r="K39">
        <v>0.2</v>
      </c>
      <c r="L39">
        <v>1</v>
      </c>
      <c r="N39">
        <v>0.2</v>
      </c>
      <c r="O39">
        <v>118308</v>
      </c>
    </row>
    <row r="40" spans="1:15" hidden="1" x14ac:dyDescent="0.35">
      <c r="A40" t="s">
        <v>23</v>
      </c>
      <c r="B40" t="s">
        <v>24</v>
      </c>
      <c r="C40">
        <v>7</v>
      </c>
      <c r="D40" t="s">
        <v>38</v>
      </c>
      <c r="E40">
        <v>56</v>
      </c>
      <c r="F40" t="s">
        <v>38</v>
      </c>
      <c r="G40" t="s">
        <v>348</v>
      </c>
      <c r="J40">
        <v>394360</v>
      </c>
      <c r="K40">
        <v>0.2</v>
      </c>
      <c r="L40">
        <v>1</v>
      </c>
      <c r="N40">
        <v>0.2</v>
      </c>
      <c r="O40">
        <v>78872</v>
      </c>
    </row>
    <row r="41" spans="1:15" hidden="1" x14ac:dyDescent="0.35">
      <c r="A41" t="s">
        <v>23</v>
      </c>
      <c r="B41" t="s">
        <v>24</v>
      </c>
      <c r="C41">
        <v>8</v>
      </c>
      <c r="D41" t="s">
        <v>39</v>
      </c>
      <c r="E41">
        <v>52</v>
      </c>
      <c r="F41" t="s">
        <v>39</v>
      </c>
      <c r="G41" t="s">
        <v>26</v>
      </c>
      <c r="J41">
        <v>1382050</v>
      </c>
      <c r="K41">
        <v>0.35</v>
      </c>
      <c r="L41">
        <v>1</v>
      </c>
      <c r="N41">
        <v>0.35</v>
      </c>
      <c r="O41">
        <v>483717.49999999988</v>
      </c>
    </row>
    <row r="42" spans="1:15" hidden="1" x14ac:dyDescent="0.35">
      <c r="A42" t="s">
        <v>23</v>
      </c>
      <c r="B42" t="s">
        <v>24</v>
      </c>
      <c r="C42">
        <v>8</v>
      </c>
      <c r="D42" t="s">
        <v>39</v>
      </c>
      <c r="E42">
        <v>54</v>
      </c>
      <c r="F42" t="s">
        <v>39</v>
      </c>
      <c r="G42" t="s">
        <v>347</v>
      </c>
      <c r="J42">
        <v>829230</v>
      </c>
      <c r="K42">
        <v>0.35</v>
      </c>
      <c r="L42">
        <v>1</v>
      </c>
      <c r="N42">
        <v>0.35</v>
      </c>
      <c r="O42">
        <v>290230.5</v>
      </c>
    </row>
    <row r="43" spans="1:15" hidden="1" x14ac:dyDescent="0.35">
      <c r="A43" t="s">
        <v>23</v>
      </c>
      <c r="B43" t="s">
        <v>24</v>
      </c>
      <c r="C43">
        <v>8</v>
      </c>
      <c r="D43" t="s">
        <v>39</v>
      </c>
      <c r="E43">
        <v>56</v>
      </c>
      <c r="F43" t="s">
        <v>39</v>
      </c>
      <c r="G43" t="s">
        <v>348</v>
      </c>
      <c r="J43">
        <v>552820</v>
      </c>
      <c r="K43">
        <v>0.35</v>
      </c>
      <c r="L43">
        <v>1</v>
      </c>
      <c r="N43">
        <v>0.35</v>
      </c>
      <c r="O43">
        <v>193487</v>
      </c>
    </row>
    <row r="44" spans="1:15" hidden="1" x14ac:dyDescent="0.35">
      <c r="A44" t="s">
        <v>23</v>
      </c>
      <c r="B44" t="s">
        <v>24</v>
      </c>
      <c r="C44">
        <v>8</v>
      </c>
      <c r="D44" t="s">
        <v>40</v>
      </c>
      <c r="E44">
        <v>52</v>
      </c>
      <c r="F44" t="s">
        <v>40</v>
      </c>
      <c r="G44" t="s">
        <v>26</v>
      </c>
      <c r="J44">
        <v>447775</v>
      </c>
      <c r="K44">
        <v>0.35</v>
      </c>
      <c r="L44">
        <v>1</v>
      </c>
      <c r="N44">
        <v>0.35</v>
      </c>
      <c r="O44">
        <v>156721.25</v>
      </c>
    </row>
    <row r="45" spans="1:15" hidden="1" x14ac:dyDescent="0.35">
      <c r="A45" t="s">
        <v>23</v>
      </c>
      <c r="B45" t="s">
        <v>24</v>
      </c>
      <c r="C45">
        <v>8</v>
      </c>
      <c r="D45" t="s">
        <v>40</v>
      </c>
      <c r="E45">
        <v>54</v>
      </c>
      <c r="F45" t="s">
        <v>40</v>
      </c>
      <c r="G45" t="s">
        <v>347</v>
      </c>
      <c r="J45">
        <v>268665</v>
      </c>
      <c r="K45">
        <v>0.35</v>
      </c>
      <c r="L45">
        <v>1</v>
      </c>
      <c r="N45">
        <v>0.35</v>
      </c>
      <c r="O45">
        <v>94032.75</v>
      </c>
    </row>
    <row r="46" spans="1:15" hidden="1" x14ac:dyDescent="0.35">
      <c r="A46" t="s">
        <v>23</v>
      </c>
      <c r="B46" t="s">
        <v>24</v>
      </c>
      <c r="C46">
        <v>8</v>
      </c>
      <c r="D46" t="s">
        <v>40</v>
      </c>
      <c r="E46">
        <v>56</v>
      </c>
      <c r="F46" t="s">
        <v>40</v>
      </c>
      <c r="G46" t="s">
        <v>348</v>
      </c>
      <c r="J46">
        <v>179110</v>
      </c>
      <c r="K46">
        <v>0.35</v>
      </c>
      <c r="L46">
        <v>1</v>
      </c>
      <c r="N46">
        <v>0.35</v>
      </c>
      <c r="O46">
        <v>62688.499999999993</v>
      </c>
    </row>
    <row r="47" spans="1:15" hidden="1" x14ac:dyDescent="0.35">
      <c r="A47" t="s">
        <v>23</v>
      </c>
      <c r="B47" t="s">
        <v>24</v>
      </c>
      <c r="C47">
        <v>8</v>
      </c>
      <c r="D47" t="s">
        <v>41</v>
      </c>
      <c r="E47">
        <v>52</v>
      </c>
      <c r="F47" t="s">
        <v>41</v>
      </c>
      <c r="G47" t="s">
        <v>26</v>
      </c>
      <c r="J47">
        <v>733375</v>
      </c>
      <c r="K47">
        <v>0.35</v>
      </c>
      <c r="L47">
        <v>1</v>
      </c>
      <c r="N47">
        <v>0.35</v>
      </c>
      <c r="O47">
        <v>256681.25</v>
      </c>
    </row>
    <row r="48" spans="1:15" hidden="1" x14ac:dyDescent="0.35">
      <c r="A48" t="s">
        <v>23</v>
      </c>
      <c r="B48" t="s">
        <v>24</v>
      </c>
      <c r="C48">
        <v>8</v>
      </c>
      <c r="D48" t="s">
        <v>41</v>
      </c>
      <c r="E48">
        <v>54</v>
      </c>
      <c r="F48" t="s">
        <v>41</v>
      </c>
      <c r="G48" t="s">
        <v>347</v>
      </c>
      <c r="J48">
        <v>440025</v>
      </c>
      <c r="K48">
        <v>0.35</v>
      </c>
      <c r="L48">
        <v>1</v>
      </c>
      <c r="N48">
        <v>0.35</v>
      </c>
      <c r="O48">
        <v>154008.75</v>
      </c>
    </row>
    <row r="49" spans="1:15" hidden="1" x14ac:dyDescent="0.35">
      <c r="A49" t="s">
        <v>23</v>
      </c>
      <c r="B49" t="s">
        <v>24</v>
      </c>
      <c r="C49">
        <v>8</v>
      </c>
      <c r="D49" t="s">
        <v>41</v>
      </c>
      <c r="E49">
        <v>56</v>
      </c>
      <c r="F49" t="s">
        <v>41</v>
      </c>
      <c r="G49" t="s">
        <v>348</v>
      </c>
      <c r="J49">
        <v>293350</v>
      </c>
      <c r="K49">
        <v>0.35</v>
      </c>
      <c r="L49">
        <v>1</v>
      </c>
      <c r="N49">
        <v>0.35</v>
      </c>
      <c r="O49">
        <v>102672.5</v>
      </c>
    </row>
    <row r="50" spans="1:15" hidden="1" x14ac:dyDescent="0.35">
      <c r="A50" t="s">
        <v>23</v>
      </c>
      <c r="B50" t="s">
        <v>24</v>
      </c>
      <c r="C50">
        <v>8</v>
      </c>
      <c r="D50" t="s">
        <v>42</v>
      </c>
      <c r="E50">
        <v>52</v>
      </c>
      <c r="F50" t="s">
        <v>42</v>
      </c>
      <c r="G50" t="s">
        <v>26</v>
      </c>
      <c r="J50">
        <v>705950</v>
      </c>
      <c r="K50">
        <v>0.35</v>
      </c>
      <c r="L50">
        <v>1</v>
      </c>
      <c r="N50">
        <v>0.35</v>
      </c>
      <c r="O50">
        <v>247082.5</v>
      </c>
    </row>
    <row r="51" spans="1:15" hidden="1" x14ac:dyDescent="0.35">
      <c r="A51" t="s">
        <v>23</v>
      </c>
      <c r="B51" t="s">
        <v>24</v>
      </c>
      <c r="C51">
        <v>8</v>
      </c>
      <c r="D51" t="s">
        <v>42</v>
      </c>
      <c r="E51">
        <v>54</v>
      </c>
      <c r="F51" t="s">
        <v>42</v>
      </c>
      <c r="G51" t="s">
        <v>347</v>
      </c>
      <c r="J51">
        <v>423570</v>
      </c>
      <c r="K51">
        <v>0.35</v>
      </c>
      <c r="L51">
        <v>1</v>
      </c>
      <c r="N51">
        <v>0.35</v>
      </c>
      <c r="O51">
        <v>148249.5</v>
      </c>
    </row>
    <row r="52" spans="1:15" hidden="1" x14ac:dyDescent="0.35">
      <c r="A52" t="s">
        <v>23</v>
      </c>
      <c r="B52" t="s">
        <v>24</v>
      </c>
      <c r="C52">
        <v>8</v>
      </c>
      <c r="D52" t="s">
        <v>42</v>
      </c>
      <c r="E52">
        <v>56</v>
      </c>
      <c r="F52" t="s">
        <v>42</v>
      </c>
      <c r="G52" t="s">
        <v>348</v>
      </c>
      <c r="J52">
        <v>282380</v>
      </c>
      <c r="K52">
        <v>0.35</v>
      </c>
      <c r="L52">
        <v>1</v>
      </c>
      <c r="N52">
        <v>0.35</v>
      </c>
      <c r="O52">
        <v>98833</v>
      </c>
    </row>
    <row r="53" spans="1:15" hidden="1" x14ac:dyDescent="0.35">
      <c r="A53" t="s">
        <v>23</v>
      </c>
      <c r="B53" t="s">
        <v>24</v>
      </c>
      <c r="C53">
        <v>8</v>
      </c>
      <c r="D53" t="s">
        <v>43</v>
      </c>
      <c r="E53">
        <v>52</v>
      </c>
      <c r="F53" t="s">
        <v>43</v>
      </c>
      <c r="G53" t="s">
        <v>26</v>
      </c>
      <c r="J53">
        <v>1338825</v>
      </c>
      <c r="K53">
        <v>0.35</v>
      </c>
      <c r="L53">
        <v>1</v>
      </c>
      <c r="N53">
        <v>0.35</v>
      </c>
      <c r="O53">
        <v>468588.74999999988</v>
      </c>
    </row>
    <row r="54" spans="1:15" hidden="1" x14ac:dyDescent="0.35">
      <c r="A54" t="s">
        <v>23</v>
      </c>
      <c r="B54" t="s">
        <v>24</v>
      </c>
      <c r="C54">
        <v>8</v>
      </c>
      <c r="D54" t="s">
        <v>43</v>
      </c>
      <c r="E54">
        <v>54</v>
      </c>
      <c r="F54" t="s">
        <v>43</v>
      </c>
      <c r="G54" t="s">
        <v>347</v>
      </c>
      <c r="J54">
        <v>803295</v>
      </c>
      <c r="K54">
        <v>0.35</v>
      </c>
      <c r="L54">
        <v>1</v>
      </c>
      <c r="N54">
        <v>0.35</v>
      </c>
      <c r="O54">
        <v>281153.25</v>
      </c>
    </row>
    <row r="55" spans="1:15" hidden="1" x14ac:dyDescent="0.35">
      <c r="A55" t="s">
        <v>23</v>
      </c>
      <c r="B55" t="s">
        <v>24</v>
      </c>
      <c r="C55">
        <v>8</v>
      </c>
      <c r="D55" t="s">
        <v>43</v>
      </c>
      <c r="E55">
        <v>56</v>
      </c>
      <c r="F55" t="s">
        <v>43</v>
      </c>
      <c r="G55" t="s">
        <v>348</v>
      </c>
      <c r="J55">
        <v>535530</v>
      </c>
      <c r="K55">
        <v>0.35</v>
      </c>
      <c r="L55">
        <v>1</v>
      </c>
      <c r="N55">
        <v>0.35</v>
      </c>
      <c r="O55">
        <v>187435.5</v>
      </c>
    </row>
    <row r="56" spans="1:15" hidden="1" x14ac:dyDescent="0.35">
      <c r="A56" t="s">
        <v>23</v>
      </c>
      <c r="B56" t="s">
        <v>24</v>
      </c>
      <c r="C56">
        <v>8</v>
      </c>
      <c r="D56" t="s">
        <v>44</v>
      </c>
      <c r="E56">
        <v>52</v>
      </c>
      <c r="F56" t="s">
        <v>44</v>
      </c>
      <c r="G56" t="s">
        <v>26</v>
      </c>
      <c r="J56">
        <v>680425</v>
      </c>
      <c r="K56">
        <v>0.35</v>
      </c>
      <c r="L56">
        <v>1</v>
      </c>
      <c r="N56">
        <v>0.35</v>
      </c>
      <c r="O56">
        <v>238148.75</v>
      </c>
    </row>
    <row r="57" spans="1:15" hidden="1" x14ac:dyDescent="0.35">
      <c r="A57" t="s">
        <v>23</v>
      </c>
      <c r="B57" t="s">
        <v>24</v>
      </c>
      <c r="C57">
        <v>8</v>
      </c>
      <c r="D57" t="s">
        <v>44</v>
      </c>
      <c r="E57">
        <v>54</v>
      </c>
      <c r="F57" t="s">
        <v>44</v>
      </c>
      <c r="G57" t="s">
        <v>347</v>
      </c>
      <c r="J57">
        <v>408255</v>
      </c>
      <c r="K57">
        <v>0.35</v>
      </c>
      <c r="L57">
        <v>1</v>
      </c>
      <c r="N57">
        <v>0.35</v>
      </c>
      <c r="O57">
        <v>142889.25</v>
      </c>
    </row>
    <row r="58" spans="1:15" hidden="1" x14ac:dyDescent="0.35">
      <c r="A58" t="s">
        <v>23</v>
      </c>
      <c r="B58" t="s">
        <v>24</v>
      </c>
      <c r="C58">
        <v>8</v>
      </c>
      <c r="D58" t="s">
        <v>44</v>
      </c>
      <c r="E58">
        <v>56</v>
      </c>
      <c r="F58" t="s">
        <v>44</v>
      </c>
      <c r="G58" t="s">
        <v>348</v>
      </c>
      <c r="J58">
        <v>272170</v>
      </c>
      <c r="K58">
        <v>0.35</v>
      </c>
      <c r="L58">
        <v>1</v>
      </c>
      <c r="N58">
        <v>0.35</v>
      </c>
      <c r="O58">
        <v>95259.5</v>
      </c>
    </row>
    <row r="59" spans="1:15" hidden="1" x14ac:dyDescent="0.35">
      <c r="A59" t="s">
        <v>23</v>
      </c>
      <c r="B59" t="s">
        <v>24</v>
      </c>
      <c r="C59">
        <v>9</v>
      </c>
      <c r="D59" t="s">
        <v>45</v>
      </c>
      <c r="E59">
        <v>52</v>
      </c>
      <c r="F59" t="s">
        <v>45</v>
      </c>
      <c r="G59" t="s">
        <v>26</v>
      </c>
      <c r="J59">
        <v>444650</v>
      </c>
      <c r="K59">
        <v>0.25</v>
      </c>
      <c r="L59">
        <v>1</v>
      </c>
      <c r="N59">
        <v>0.25</v>
      </c>
      <c r="O59">
        <v>111162.5</v>
      </c>
    </row>
    <row r="60" spans="1:15" hidden="1" x14ac:dyDescent="0.35">
      <c r="A60" t="s">
        <v>23</v>
      </c>
      <c r="B60" t="s">
        <v>24</v>
      </c>
      <c r="C60">
        <v>9</v>
      </c>
      <c r="D60" t="s">
        <v>45</v>
      </c>
      <c r="E60">
        <v>54</v>
      </c>
      <c r="F60" t="s">
        <v>45</v>
      </c>
      <c r="G60" t="s">
        <v>347</v>
      </c>
      <c r="J60">
        <v>266790</v>
      </c>
      <c r="K60">
        <v>0.25</v>
      </c>
      <c r="L60">
        <v>1</v>
      </c>
      <c r="N60">
        <v>0.25</v>
      </c>
      <c r="O60">
        <v>66697.5</v>
      </c>
    </row>
    <row r="61" spans="1:15" hidden="1" x14ac:dyDescent="0.35">
      <c r="A61" t="s">
        <v>23</v>
      </c>
      <c r="B61" t="s">
        <v>24</v>
      </c>
      <c r="C61">
        <v>9</v>
      </c>
      <c r="D61" t="s">
        <v>45</v>
      </c>
      <c r="E61">
        <v>56</v>
      </c>
      <c r="F61" t="s">
        <v>45</v>
      </c>
      <c r="G61" t="s">
        <v>348</v>
      </c>
      <c r="J61">
        <v>177860</v>
      </c>
      <c r="K61">
        <v>0.25</v>
      </c>
      <c r="L61">
        <v>1</v>
      </c>
      <c r="N61">
        <v>0.25</v>
      </c>
      <c r="O61">
        <v>44465</v>
      </c>
    </row>
    <row r="62" spans="1:15" hidden="1" x14ac:dyDescent="0.35">
      <c r="A62" t="s">
        <v>23</v>
      </c>
      <c r="B62" t="s">
        <v>24</v>
      </c>
      <c r="C62">
        <v>9</v>
      </c>
      <c r="D62" t="s">
        <v>46</v>
      </c>
      <c r="E62">
        <v>52</v>
      </c>
      <c r="F62" t="s">
        <v>46</v>
      </c>
      <c r="G62" t="s">
        <v>26</v>
      </c>
      <c r="J62">
        <v>964500.00000000012</v>
      </c>
      <c r="K62">
        <v>0.25</v>
      </c>
      <c r="L62">
        <v>1</v>
      </c>
      <c r="N62">
        <v>0.25</v>
      </c>
      <c r="O62">
        <v>241125</v>
      </c>
    </row>
    <row r="63" spans="1:15" hidden="1" x14ac:dyDescent="0.35">
      <c r="A63" t="s">
        <v>23</v>
      </c>
      <c r="B63" t="s">
        <v>24</v>
      </c>
      <c r="C63">
        <v>9</v>
      </c>
      <c r="D63" t="s">
        <v>46</v>
      </c>
      <c r="E63">
        <v>54</v>
      </c>
      <c r="F63" t="s">
        <v>46</v>
      </c>
      <c r="G63" t="s">
        <v>347</v>
      </c>
      <c r="J63">
        <v>578700</v>
      </c>
      <c r="K63">
        <v>0.25</v>
      </c>
      <c r="L63">
        <v>1</v>
      </c>
      <c r="N63">
        <v>0.25</v>
      </c>
      <c r="O63">
        <v>144675</v>
      </c>
    </row>
    <row r="64" spans="1:15" hidden="1" x14ac:dyDescent="0.35">
      <c r="A64" t="s">
        <v>23</v>
      </c>
      <c r="B64" t="s">
        <v>24</v>
      </c>
      <c r="C64">
        <v>9</v>
      </c>
      <c r="D64" t="s">
        <v>46</v>
      </c>
      <c r="E64">
        <v>56</v>
      </c>
      <c r="F64" t="s">
        <v>46</v>
      </c>
      <c r="G64" t="s">
        <v>348</v>
      </c>
      <c r="J64">
        <v>385800.00000000012</v>
      </c>
      <c r="K64">
        <v>0.25</v>
      </c>
      <c r="L64">
        <v>1</v>
      </c>
      <c r="N64">
        <v>0.25</v>
      </c>
      <c r="O64">
        <v>96450.000000000029</v>
      </c>
    </row>
    <row r="65" spans="1:15" hidden="1" x14ac:dyDescent="0.35">
      <c r="A65" t="s">
        <v>23</v>
      </c>
      <c r="B65" t="s">
        <v>24</v>
      </c>
      <c r="C65">
        <v>10</v>
      </c>
      <c r="D65" t="s">
        <v>47</v>
      </c>
      <c r="E65">
        <v>52</v>
      </c>
      <c r="F65" t="s">
        <v>47</v>
      </c>
      <c r="G65" t="s">
        <v>26</v>
      </c>
      <c r="J65">
        <v>428425</v>
      </c>
      <c r="K65">
        <v>0.35</v>
      </c>
      <c r="L65">
        <v>1</v>
      </c>
      <c r="N65">
        <v>0.35</v>
      </c>
      <c r="O65">
        <v>149948.75</v>
      </c>
    </row>
    <row r="66" spans="1:15" hidden="1" x14ac:dyDescent="0.35">
      <c r="A66" t="s">
        <v>23</v>
      </c>
      <c r="B66" t="s">
        <v>24</v>
      </c>
      <c r="C66">
        <v>10</v>
      </c>
      <c r="D66" t="s">
        <v>47</v>
      </c>
      <c r="E66">
        <v>54</v>
      </c>
      <c r="F66" t="s">
        <v>47</v>
      </c>
      <c r="G66" t="s">
        <v>347</v>
      </c>
      <c r="J66">
        <v>257055</v>
      </c>
      <c r="K66">
        <v>0.35</v>
      </c>
      <c r="L66">
        <v>1</v>
      </c>
      <c r="N66">
        <v>0.35</v>
      </c>
      <c r="O66">
        <v>89969.25</v>
      </c>
    </row>
    <row r="67" spans="1:15" hidden="1" x14ac:dyDescent="0.35">
      <c r="A67" t="s">
        <v>23</v>
      </c>
      <c r="B67" t="s">
        <v>24</v>
      </c>
      <c r="C67">
        <v>10</v>
      </c>
      <c r="D67" t="s">
        <v>47</v>
      </c>
      <c r="E67">
        <v>56</v>
      </c>
      <c r="F67" t="s">
        <v>47</v>
      </c>
      <c r="G67" t="s">
        <v>348</v>
      </c>
      <c r="J67">
        <v>171370</v>
      </c>
      <c r="K67">
        <v>0.35</v>
      </c>
      <c r="L67">
        <v>1</v>
      </c>
      <c r="N67">
        <v>0.35</v>
      </c>
      <c r="O67">
        <v>59979.499999999993</v>
      </c>
    </row>
    <row r="68" spans="1:15" hidden="1" x14ac:dyDescent="0.35">
      <c r="A68" t="s">
        <v>23</v>
      </c>
      <c r="B68" t="s">
        <v>24</v>
      </c>
      <c r="C68">
        <v>10</v>
      </c>
      <c r="D68" t="s">
        <v>48</v>
      </c>
      <c r="E68">
        <v>52</v>
      </c>
      <c r="F68" t="s">
        <v>48</v>
      </c>
      <c r="G68" t="s">
        <v>26</v>
      </c>
      <c r="J68">
        <v>728650</v>
      </c>
      <c r="K68">
        <v>0.35</v>
      </c>
      <c r="L68">
        <v>1</v>
      </c>
      <c r="N68">
        <v>0.35</v>
      </c>
      <c r="O68">
        <v>255027.5</v>
      </c>
    </row>
    <row r="69" spans="1:15" hidden="1" x14ac:dyDescent="0.35">
      <c r="A69" t="s">
        <v>23</v>
      </c>
      <c r="B69" t="s">
        <v>24</v>
      </c>
      <c r="C69">
        <v>10</v>
      </c>
      <c r="D69" t="s">
        <v>48</v>
      </c>
      <c r="E69">
        <v>54</v>
      </c>
      <c r="F69" t="s">
        <v>48</v>
      </c>
      <c r="G69" t="s">
        <v>347</v>
      </c>
      <c r="J69">
        <v>437190</v>
      </c>
      <c r="K69">
        <v>0.35</v>
      </c>
      <c r="L69">
        <v>1</v>
      </c>
      <c r="N69">
        <v>0.35</v>
      </c>
      <c r="O69">
        <v>153016.5</v>
      </c>
    </row>
    <row r="70" spans="1:15" hidden="1" x14ac:dyDescent="0.35">
      <c r="A70" t="s">
        <v>23</v>
      </c>
      <c r="B70" t="s">
        <v>24</v>
      </c>
      <c r="C70">
        <v>10</v>
      </c>
      <c r="D70" t="s">
        <v>48</v>
      </c>
      <c r="E70">
        <v>56</v>
      </c>
      <c r="F70" t="s">
        <v>48</v>
      </c>
      <c r="G70" t="s">
        <v>348</v>
      </c>
      <c r="J70">
        <v>291460</v>
      </c>
      <c r="K70">
        <v>0.35</v>
      </c>
      <c r="L70">
        <v>1</v>
      </c>
      <c r="N70">
        <v>0.35</v>
      </c>
      <c r="O70">
        <v>102011</v>
      </c>
    </row>
    <row r="71" spans="1:15" hidden="1" x14ac:dyDescent="0.35">
      <c r="A71" t="s">
        <v>23</v>
      </c>
      <c r="B71" t="s">
        <v>24</v>
      </c>
      <c r="C71">
        <v>10</v>
      </c>
      <c r="D71" t="s">
        <v>49</v>
      </c>
      <c r="E71">
        <v>52</v>
      </c>
      <c r="F71" t="s">
        <v>49</v>
      </c>
      <c r="G71" t="s">
        <v>26</v>
      </c>
      <c r="J71">
        <v>398750</v>
      </c>
      <c r="K71">
        <v>0.35</v>
      </c>
      <c r="L71">
        <v>1</v>
      </c>
      <c r="N71">
        <v>0.35</v>
      </c>
      <c r="O71">
        <v>139562.5</v>
      </c>
    </row>
    <row r="72" spans="1:15" hidden="1" x14ac:dyDescent="0.35">
      <c r="A72" t="s">
        <v>23</v>
      </c>
      <c r="B72" t="s">
        <v>24</v>
      </c>
      <c r="C72">
        <v>10</v>
      </c>
      <c r="D72" t="s">
        <v>49</v>
      </c>
      <c r="E72">
        <v>54</v>
      </c>
      <c r="F72" t="s">
        <v>49</v>
      </c>
      <c r="G72" t="s">
        <v>347</v>
      </c>
      <c r="J72">
        <v>239250</v>
      </c>
      <c r="K72">
        <v>0.35</v>
      </c>
      <c r="L72">
        <v>1</v>
      </c>
      <c r="N72">
        <v>0.35</v>
      </c>
      <c r="O72">
        <v>83737.5</v>
      </c>
    </row>
    <row r="73" spans="1:15" hidden="1" x14ac:dyDescent="0.35">
      <c r="A73" t="s">
        <v>23</v>
      </c>
      <c r="B73" t="s">
        <v>24</v>
      </c>
      <c r="C73">
        <v>10</v>
      </c>
      <c r="D73" t="s">
        <v>49</v>
      </c>
      <c r="E73">
        <v>56</v>
      </c>
      <c r="F73" t="s">
        <v>49</v>
      </c>
      <c r="G73" t="s">
        <v>348</v>
      </c>
      <c r="J73">
        <v>159500</v>
      </c>
      <c r="K73">
        <v>0.35</v>
      </c>
      <c r="L73">
        <v>1</v>
      </c>
      <c r="N73">
        <v>0.35</v>
      </c>
      <c r="O73">
        <v>55825</v>
      </c>
    </row>
    <row r="74" spans="1:15" hidden="1" x14ac:dyDescent="0.35">
      <c r="A74" t="s">
        <v>23</v>
      </c>
      <c r="B74" t="s">
        <v>24</v>
      </c>
      <c r="C74">
        <v>10</v>
      </c>
      <c r="D74" t="s">
        <v>50</v>
      </c>
      <c r="E74">
        <v>52</v>
      </c>
      <c r="F74" t="s">
        <v>50</v>
      </c>
      <c r="G74" t="s">
        <v>26</v>
      </c>
      <c r="J74">
        <v>737850</v>
      </c>
      <c r="K74">
        <v>0.35</v>
      </c>
      <c r="L74">
        <v>1</v>
      </c>
      <c r="N74">
        <v>0.35</v>
      </c>
      <c r="O74">
        <v>258247.5</v>
      </c>
    </row>
    <row r="75" spans="1:15" hidden="1" x14ac:dyDescent="0.35">
      <c r="A75" t="s">
        <v>23</v>
      </c>
      <c r="B75" t="s">
        <v>24</v>
      </c>
      <c r="C75">
        <v>10</v>
      </c>
      <c r="D75" t="s">
        <v>50</v>
      </c>
      <c r="E75">
        <v>54</v>
      </c>
      <c r="F75" t="s">
        <v>50</v>
      </c>
      <c r="G75" t="s">
        <v>347</v>
      </c>
      <c r="J75">
        <v>442710</v>
      </c>
      <c r="K75">
        <v>0.35</v>
      </c>
      <c r="L75">
        <v>1</v>
      </c>
      <c r="N75">
        <v>0.35</v>
      </c>
      <c r="O75">
        <v>154948.5</v>
      </c>
    </row>
    <row r="76" spans="1:15" hidden="1" x14ac:dyDescent="0.35">
      <c r="A76" t="s">
        <v>23</v>
      </c>
      <c r="B76" t="s">
        <v>24</v>
      </c>
      <c r="C76">
        <v>10</v>
      </c>
      <c r="D76" t="s">
        <v>50</v>
      </c>
      <c r="E76">
        <v>56</v>
      </c>
      <c r="F76" t="s">
        <v>50</v>
      </c>
      <c r="G76" t="s">
        <v>348</v>
      </c>
      <c r="J76">
        <v>295140</v>
      </c>
      <c r="K76">
        <v>0.35</v>
      </c>
      <c r="L76">
        <v>1</v>
      </c>
      <c r="N76">
        <v>0.35</v>
      </c>
      <c r="O76">
        <v>103299</v>
      </c>
    </row>
    <row r="77" spans="1:15" hidden="1" x14ac:dyDescent="0.35">
      <c r="A77" t="s">
        <v>23</v>
      </c>
      <c r="B77" t="s">
        <v>51</v>
      </c>
      <c r="C77">
        <v>3</v>
      </c>
      <c r="D77" t="s">
        <v>52</v>
      </c>
      <c r="E77">
        <v>5</v>
      </c>
      <c r="F77" t="s">
        <v>53</v>
      </c>
      <c r="G77" t="s">
        <v>54</v>
      </c>
      <c r="H77">
        <v>0.5</v>
      </c>
      <c r="J77">
        <v>-298852.2357733245</v>
      </c>
      <c r="K77">
        <v>0.05</v>
      </c>
      <c r="L77">
        <v>1</v>
      </c>
      <c r="N77">
        <v>0.05</v>
      </c>
      <c r="O77">
        <v>-14942.61178866623</v>
      </c>
    </row>
    <row r="78" spans="1:15" hidden="1" x14ac:dyDescent="0.35">
      <c r="A78" t="s">
        <v>23</v>
      </c>
      <c r="B78" t="s">
        <v>51</v>
      </c>
      <c r="C78">
        <v>3</v>
      </c>
      <c r="D78" t="s">
        <v>55</v>
      </c>
      <c r="E78">
        <v>17</v>
      </c>
      <c r="F78" t="s">
        <v>53</v>
      </c>
      <c r="G78" t="s">
        <v>56</v>
      </c>
      <c r="H78">
        <v>0.5</v>
      </c>
      <c r="J78">
        <v>-319718.22536416992</v>
      </c>
      <c r="K78">
        <v>0.05</v>
      </c>
      <c r="L78">
        <v>1</v>
      </c>
      <c r="N78">
        <v>0.05</v>
      </c>
      <c r="O78">
        <v>-15985.9112682085</v>
      </c>
    </row>
    <row r="79" spans="1:15" hidden="1" x14ac:dyDescent="0.35">
      <c r="A79" t="s">
        <v>23</v>
      </c>
      <c r="B79" t="s">
        <v>51</v>
      </c>
      <c r="C79">
        <v>3</v>
      </c>
      <c r="D79" t="s">
        <v>57</v>
      </c>
      <c r="E79">
        <v>20</v>
      </c>
      <c r="F79" t="s">
        <v>53</v>
      </c>
      <c r="G79" t="s">
        <v>58</v>
      </c>
      <c r="H79">
        <v>0.5</v>
      </c>
      <c r="J79">
        <v>-8201.6996763627503</v>
      </c>
      <c r="K79">
        <v>0.05</v>
      </c>
      <c r="L79">
        <v>1</v>
      </c>
      <c r="N79">
        <v>0.05</v>
      </c>
      <c r="O79">
        <v>-410.08498381813752</v>
      </c>
    </row>
    <row r="80" spans="1:15" hidden="1" x14ac:dyDescent="0.35">
      <c r="A80" t="s">
        <v>23</v>
      </c>
      <c r="B80" t="s">
        <v>51</v>
      </c>
      <c r="C80">
        <v>3</v>
      </c>
      <c r="D80" t="s">
        <v>59</v>
      </c>
      <c r="E80">
        <v>17</v>
      </c>
      <c r="F80" t="s">
        <v>60</v>
      </c>
      <c r="G80" t="s">
        <v>56</v>
      </c>
      <c r="H80">
        <v>1</v>
      </c>
      <c r="J80">
        <v>-293272.25998650881</v>
      </c>
      <c r="K80">
        <v>0.05</v>
      </c>
      <c r="L80">
        <v>1</v>
      </c>
      <c r="N80">
        <v>0.05</v>
      </c>
      <c r="O80">
        <v>-14663.61299932544</v>
      </c>
    </row>
    <row r="81" spans="1:15" hidden="1" x14ac:dyDescent="0.35">
      <c r="A81" t="s">
        <v>23</v>
      </c>
      <c r="B81" t="s">
        <v>51</v>
      </c>
      <c r="C81">
        <v>3</v>
      </c>
      <c r="D81" t="s">
        <v>61</v>
      </c>
      <c r="E81">
        <v>20</v>
      </c>
      <c r="F81" t="s">
        <v>60</v>
      </c>
      <c r="G81" t="s">
        <v>58</v>
      </c>
      <c r="H81">
        <v>1</v>
      </c>
      <c r="J81">
        <v>-672275.71341447858</v>
      </c>
      <c r="K81">
        <v>0.05</v>
      </c>
      <c r="L81">
        <v>1</v>
      </c>
      <c r="N81">
        <v>0.05</v>
      </c>
      <c r="O81">
        <v>-33613.785670723933</v>
      </c>
    </row>
    <row r="82" spans="1:15" hidden="1" x14ac:dyDescent="0.35">
      <c r="A82" t="s">
        <v>23</v>
      </c>
      <c r="B82" t="s">
        <v>51</v>
      </c>
      <c r="C82">
        <v>3</v>
      </c>
      <c r="D82" t="s">
        <v>62</v>
      </c>
      <c r="E82">
        <v>20</v>
      </c>
      <c r="F82" t="s">
        <v>63</v>
      </c>
      <c r="G82" t="s">
        <v>58</v>
      </c>
      <c r="H82">
        <v>3</v>
      </c>
      <c r="J82">
        <v>-1131584.479480352</v>
      </c>
      <c r="K82">
        <v>0.05</v>
      </c>
      <c r="L82">
        <v>1</v>
      </c>
      <c r="N82">
        <v>0.05</v>
      </c>
      <c r="O82">
        <v>-56579.223974017601</v>
      </c>
    </row>
    <row r="83" spans="1:15" hidden="1" x14ac:dyDescent="0.35">
      <c r="A83" t="s">
        <v>23</v>
      </c>
      <c r="B83" t="s">
        <v>51</v>
      </c>
      <c r="C83">
        <v>4</v>
      </c>
      <c r="D83" t="s">
        <v>64</v>
      </c>
      <c r="E83">
        <v>9</v>
      </c>
      <c r="F83" t="s">
        <v>65</v>
      </c>
      <c r="G83" t="s">
        <v>66</v>
      </c>
      <c r="H83">
        <v>0.5</v>
      </c>
      <c r="J83">
        <v>-7836.8341884811343</v>
      </c>
      <c r="K83">
        <v>0.03</v>
      </c>
      <c r="L83">
        <v>1</v>
      </c>
      <c r="N83">
        <v>0.03</v>
      </c>
      <c r="O83">
        <v>-235.105025654434</v>
      </c>
    </row>
    <row r="84" spans="1:15" hidden="1" x14ac:dyDescent="0.35">
      <c r="A84" t="s">
        <v>23</v>
      </c>
      <c r="B84" t="s">
        <v>51</v>
      </c>
      <c r="C84">
        <v>4</v>
      </c>
      <c r="D84" t="s">
        <v>67</v>
      </c>
      <c r="E84">
        <v>10</v>
      </c>
      <c r="F84" t="s">
        <v>65</v>
      </c>
      <c r="G84" t="s">
        <v>68</v>
      </c>
      <c r="H84">
        <v>0.5</v>
      </c>
      <c r="J84">
        <v>-10621.071786545141</v>
      </c>
      <c r="K84">
        <v>0.03</v>
      </c>
      <c r="L84">
        <v>1</v>
      </c>
      <c r="N84">
        <v>0.03</v>
      </c>
      <c r="O84">
        <v>-318.63215359635421</v>
      </c>
    </row>
    <row r="85" spans="1:15" hidden="1" x14ac:dyDescent="0.35">
      <c r="A85" t="s">
        <v>23</v>
      </c>
      <c r="B85" t="s">
        <v>51</v>
      </c>
      <c r="C85">
        <v>4</v>
      </c>
      <c r="D85" t="s">
        <v>69</v>
      </c>
      <c r="E85">
        <v>11</v>
      </c>
      <c r="F85" t="s">
        <v>65</v>
      </c>
      <c r="G85" t="s">
        <v>70</v>
      </c>
      <c r="H85">
        <v>0.5</v>
      </c>
      <c r="J85">
        <v>-12065.61451436983</v>
      </c>
      <c r="K85">
        <v>0.03</v>
      </c>
      <c r="L85">
        <v>1</v>
      </c>
      <c r="N85">
        <v>0.03</v>
      </c>
      <c r="O85">
        <v>-361.96843543109492</v>
      </c>
    </row>
    <row r="86" spans="1:15" hidden="1" x14ac:dyDescent="0.35">
      <c r="A86" t="s">
        <v>23</v>
      </c>
      <c r="B86" t="s">
        <v>51</v>
      </c>
      <c r="C86">
        <v>4</v>
      </c>
      <c r="D86" t="s">
        <v>71</v>
      </c>
      <c r="E86">
        <v>18</v>
      </c>
      <c r="F86" t="s">
        <v>65</v>
      </c>
      <c r="G86" t="s">
        <v>72</v>
      </c>
      <c r="H86">
        <v>0.5</v>
      </c>
      <c r="J86">
        <v>-11675.19570122977</v>
      </c>
      <c r="K86">
        <v>0.03</v>
      </c>
      <c r="L86">
        <v>1</v>
      </c>
      <c r="N86">
        <v>0.03</v>
      </c>
      <c r="O86">
        <v>-350.2558710368931</v>
      </c>
    </row>
    <row r="87" spans="1:15" hidden="1" x14ac:dyDescent="0.35">
      <c r="A87" t="s">
        <v>23</v>
      </c>
      <c r="B87" t="s">
        <v>51</v>
      </c>
      <c r="C87">
        <v>4</v>
      </c>
      <c r="D87" t="s">
        <v>73</v>
      </c>
      <c r="E87">
        <v>22</v>
      </c>
      <c r="F87" t="s">
        <v>65</v>
      </c>
      <c r="G87" t="s">
        <v>74</v>
      </c>
      <c r="H87">
        <v>0.5</v>
      </c>
      <c r="J87">
        <v>-6785.7894760550153</v>
      </c>
      <c r="K87">
        <v>0.03</v>
      </c>
      <c r="L87">
        <v>1</v>
      </c>
      <c r="N87">
        <v>0.03</v>
      </c>
      <c r="O87">
        <v>-203.57368428165049</v>
      </c>
    </row>
    <row r="88" spans="1:15" hidden="1" x14ac:dyDescent="0.35">
      <c r="A88" t="s">
        <v>23</v>
      </c>
      <c r="B88" t="s">
        <v>51</v>
      </c>
      <c r="C88">
        <v>4</v>
      </c>
      <c r="D88" t="s">
        <v>75</v>
      </c>
      <c r="E88">
        <v>9</v>
      </c>
      <c r="F88" t="s">
        <v>76</v>
      </c>
      <c r="G88" t="s">
        <v>66</v>
      </c>
      <c r="H88">
        <v>1</v>
      </c>
      <c r="J88">
        <v>-412739.33746151673</v>
      </c>
      <c r="K88">
        <v>0.03</v>
      </c>
      <c r="L88">
        <v>1</v>
      </c>
      <c r="N88">
        <v>0.03</v>
      </c>
      <c r="O88">
        <v>-12382.180123845499</v>
      </c>
    </row>
    <row r="89" spans="1:15" hidden="1" x14ac:dyDescent="0.35">
      <c r="A89" t="s">
        <v>23</v>
      </c>
      <c r="B89" t="s">
        <v>51</v>
      </c>
      <c r="C89">
        <v>4</v>
      </c>
      <c r="D89" t="s">
        <v>77</v>
      </c>
      <c r="E89">
        <v>10</v>
      </c>
      <c r="F89" t="s">
        <v>76</v>
      </c>
      <c r="G89" t="s">
        <v>68</v>
      </c>
      <c r="H89">
        <v>1</v>
      </c>
      <c r="J89">
        <v>-338337.6452364928</v>
      </c>
      <c r="K89">
        <v>0.03</v>
      </c>
      <c r="L89">
        <v>1</v>
      </c>
      <c r="N89">
        <v>0.03</v>
      </c>
      <c r="O89">
        <v>-10150.12935709478</v>
      </c>
    </row>
    <row r="90" spans="1:15" hidden="1" x14ac:dyDescent="0.35">
      <c r="A90" t="s">
        <v>23</v>
      </c>
      <c r="B90" t="s">
        <v>51</v>
      </c>
      <c r="C90">
        <v>4</v>
      </c>
      <c r="D90" t="s">
        <v>78</v>
      </c>
      <c r="E90">
        <v>11</v>
      </c>
      <c r="F90" t="s">
        <v>76</v>
      </c>
      <c r="G90" t="s">
        <v>70</v>
      </c>
      <c r="H90">
        <v>1</v>
      </c>
      <c r="J90">
        <v>-74797.504875050436</v>
      </c>
      <c r="K90">
        <v>0.03</v>
      </c>
      <c r="L90">
        <v>1</v>
      </c>
      <c r="N90">
        <v>0.03</v>
      </c>
      <c r="O90">
        <v>-2243.9251462515131</v>
      </c>
    </row>
    <row r="91" spans="1:15" hidden="1" x14ac:dyDescent="0.35">
      <c r="A91" t="s">
        <v>23</v>
      </c>
      <c r="B91" t="s">
        <v>51</v>
      </c>
      <c r="C91">
        <v>4</v>
      </c>
      <c r="D91" t="s">
        <v>79</v>
      </c>
      <c r="E91">
        <v>18</v>
      </c>
      <c r="F91" t="s">
        <v>76</v>
      </c>
      <c r="G91" t="s">
        <v>72</v>
      </c>
      <c r="H91">
        <v>1</v>
      </c>
      <c r="J91">
        <v>-882946.33738877333</v>
      </c>
      <c r="K91">
        <v>0.03</v>
      </c>
      <c r="L91">
        <v>1</v>
      </c>
      <c r="N91">
        <v>0.03</v>
      </c>
      <c r="O91">
        <v>-26488.3901216632</v>
      </c>
    </row>
    <row r="92" spans="1:15" hidden="1" x14ac:dyDescent="0.35">
      <c r="A92" t="s">
        <v>23</v>
      </c>
      <c r="B92" t="s">
        <v>51</v>
      </c>
      <c r="C92">
        <v>4</v>
      </c>
      <c r="D92" t="s">
        <v>80</v>
      </c>
      <c r="E92">
        <v>22</v>
      </c>
      <c r="F92" t="s">
        <v>76</v>
      </c>
      <c r="G92" t="s">
        <v>74</v>
      </c>
      <c r="H92">
        <v>1</v>
      </c>
      <c r="J92">
        <v>-43054.642782010429</v>
      </c>
      <c r="K92">
        <v>0.03</v>
      </c>
      <c r="L92">
        <v>1</v>
      </c>
      <c r="N92">
        <v>0.03</v>
      </c>
      <c r="O92">
        <v>-1291.639283460313</v>
      </c>
    </row>
    <row r="93" spans="1:15" hidden="1" x14ac:dyDescent="0.35">
      <c r="A93" t="s">
        <v>23</v>
      </c>
      <c r="B93" t="s">
        <v>51</v>
      </c>
      <c r="C93">
        <v>4</v>
      </c>
      <c r="D93" t="s">
        <v>81</v>
      </c>
      <c r="E93">
        <v>9</v>
      </c>
      <c r="F93" t="s">
        <v>82</v>
      </c>
      <c r="G93" t="s">
        <v>66</v>
      </c>
      <c r="H93">
        <v>3</v>
      </c>
      <c r="J93">
        <v>-1394010.8636126639</v>
      </c>
      <c r="K93">
        <v>0.03</v>
      </c>
      <c r="L93">
        <v>1</v>
      </c>
      <c r="N93">
        <v>0.03</v>
      </c>
      <c r="O93">
        <v>-41820.325908379913</v>
      </c>
    </row>
    <row r="94" spans="1:15" hidden="1" x14ac:dyDescent="0.35">
      <c r="A94" t="s">
        <v>23</v>
      </c>
      <c r="B94" t="s">
        <v>51</v>
      </c>
      <c r="C94">
        <v>4</v>
      </c>
      <c r="D94" t="s">
        <v>83</v>
      </c>
      <c r="E94">
        <v>10</v>
      </c>
      <c r="F94" t="s">
        <v>82</v>
      </c>
      <c r="G94" t="s">
        <v>68</v>
      </c>
      <c r="H94">
        <v>3</v>
      </c>
      <c r="J94">
        <v>-1835805.9126348391</v>
      </c>
      <c r="K94">
        <v>0.03</v>
      </c>
      <c r="L94">
        <v>1</v>
      </c>
      <c r="N94">
        <v>0.03</v>
      </c>
      <c r="O94">
        <v>-55074.17737904517</v>
      </c>
    </row>
    <row r="95" spans="1:15" hidden="1" x14ac:dyDescent="0.35">
      <c r="A95" t="s">
        <v>23</v>
      </c>
      <c r="B95" t="s">
        <v>51</v>
      </c>
      <c r="C95">
        <v>4</v>
      </c>
      <c r="D95" t="s">
        <v>84</v>
      </c>
      <c r="E95">
        <v>11</v>
      </c>
      <c r="F95" t="s">
        <v>82</v>
      </c>
      <c r="G95" t="s">
        <v>70</v>
      </c>
      <c r="H95">
        <v>3</v>
      </c>
      <c r="J95">
        <v>-1684920.4306511751</v>
      </c>
      <c r="K95">
        <v>0.03</v>
      </c>
      <c r="L95">
        <v>1</v>
      </c>
      <c r="N95">
        <v>0.03</v>
      </c>
      <c r="O95">
        <v>-50547.612919535248</v>
      </c>
    </row>
    <row r="96" spans="1:15" hidden="1" x14ac:dyDescent="0.35">
      <c r="A96" t="s">
        <v>23</v>
      </c>
      <c r="B96" t="s">
        <v>51</v>
      </c>
      <c r="C96">
        <v>4</v>
      </c>
      <c r="D96" t="s">
        <v>85</v>
      </c>
      <c r="E96">
        <v>18</v>
      </c>
      <c r="F96" t="s">
        <v>82</v>
      </c>
      <c r="G96" t="s">
        <v>72</v>
      </c>
      <c r="H96">
        <v>3</v>
      </c>
      <c r="J96">
        <v>-91652.404588330683</v>
      </c>
      <c r="K96">
        <v>0.03</v>
      </c>
      <c r="L96">
        <v>1</v>
      </c>
      <c r="N96">
        <v>0.03</v>
      </c>
      <c r="O96">
        <v>-2749.57213764992</v>
      </c>
    </row>
    <row r="97" spans="1:15" hidden="1" x14ac:dyDescent="0.35">
      <c r="A97" t="s">
        <v>23</v>
      </c>
      <c r="B97" t="s">
        <v>51</v>
      </c>
      <c r="C97">
        <v>4</v>
      </c>
      <c r="D97" t="s">
        <v>86</v>
      </c>
      <c r="E97">
        <v>22</v>
      </c>
      <c r="F97" t="s">
        <v>82</v>
      </c>
      <c r="G97" t="s">
        <v>74</v>
      </c>
      <c r="H97">
        <v>3</v>
      </c>
      <c r="J97">
        <v>-1455530.530647422</v>
      </c>
      <c r="K97">
        <v>0.03</v>
      </c>
      <c r="L97">
        <v>1</v>
      </c>
      <c r="N97">
        <v>0.03</v>
      </c>
      <c r="O97">
        <v>-43665.915919422659</v>
      </c>
    </row>
    <row r="98" spans="1:15" hidden="1" x14ac:dyDescent="0.35">
      <c r="A98" t="s">
        <v>23</v>
      </c>
      <c r="B98" t="s">
        <v>51</v>
      </c>
      <c r="C98">
        <v>4</v>
      </c>
      <c r="D98" t="s">
        <v>87</v>
      </c>
      <c r="E98">
        <v>9</v>
      </c>
      <c r="F98" t="s">
        <v>88</v>
      </c>
      <c r="G98" t="s">
        <v>66</v>
      </c>
      <c r="H98">
        <v>5</v>
      </c>
      <c r="J98">
        <v>-36604.382581572281</v>
      </c>
      <c r="K98">
        <v>0.03</v>
      </c>
      <c r="L98">
        <v>1</v>
      </c>
      <c r="N98">
        <v>0.03</v>
      </c>
      <c r="O98">
        <v>-1098.131477447168</v>
      </c>
    </row>
    <row r="99" spans="1:15" hidden="1" x14ac:dyDescent="0.35">
      <c r="A99" t="s">
        <v>23</v>
      </c>
      <c r="B99" t="s">
        <v>51</v>
      </c>
      <c r="C99">
        <v>4</v>
      </c>
      <c r="D99" t="s">
        <v>89</v>
      </c>
      <c r="E99">
        <v>11</v>
      </c>
      <c r="F99" t="s">
        <v>88</v>
      </c>
      <c r="G99" t="s">
        <v>70</v>
      </c>
      <c r="H99">
        <v>5</v>
      </c>
      <c r="J99">
        <v>-1093174.646000023</v>
      </c>
      <c r="K99">
        <v>0.03</v>
      </c>
      <c r="L99">
        <v>1</v>
      </c>
      <c r="N99">
        <v>0.03</v>
      </c>
      <c r="O99">
        <v>-32795.23938000069</v>
      </c>
    </row>
    <row r="100" spans="1:15" hidden="1" x14ac:dyDescent="0.35">
      <c r="A100" t="s">
        <v>23</v>
      </c>
      <c r="B100" t="s">
        <v>51</v>
      </c>
      <c r="C100">
        <v>4</v>
      </c>
      <c r="D100" t="s">
        <v>90</v>
      </c>
      <c r="E100">
        <v>22</v>
      </c>
      <c r="F100" t="s">
        <v>88</v>
      </c>
      <c r="G100" t="s">
        <v>74</v>
      </c>
      <c r="H100">
        <v>5</v>
      </c>
      <c r="J100">
        <v>-1562899.242201865</v>
      </c>
      <c r="K100">
        <v>0.03</v>
      </c>
      <c r="L100">
        <v>1</v>
      </c>
      <c r="N100">
        <v>0.03</v>
      </c>
      <c r="O100">
        <v>-46886.977266055947</v>
      </c>
    </row>
    <row r="101" spans="1:15" hidden="1" x14ac:dyDescent="0.35">
      <c r="A101" t="s">
        <v>23</v>
      </c>
      <c r="B101" t="s">
        <v>51</v>
      </c>
      <c r="C101">
        <v>5</v>
      </c>
      <c r="D101" t="s">
        <v>91</v>
      </c>
      <c r="E101">
        <v>8</v>
      </c>
      <c r="F101" t="s">
        <v>92</v>
      </c>
      <c r="G101" t="s">
        <v>93</v>
      </c>
      <c r="H101">
        <v>0.5</v>
      </c>
      <c r="J101">
        <v>-9614.4029377001061</v>
      </c>
      <c r="K101">
        <v>0.03</v>
      </c>
      <c r="L101">
        <v>1</v>
      </c>
      <c r="N101">
        <v>0.03</v>
      </c>
      <c r="O101">
        <v>-288.43208813100318</v>
      </c>
    </row>
    <row r="102" spans="1:15" hidden="1" x14ac:dyDescent="0.35">
      <c r="A102" t="s">
        <v>23</v>
      </c>
      <c r="B102" t="s">
        <v>51</v>
      </c>
      <c r="C102">
        <v>5</v>
      </c>
      <c r="D102" t="s">
        <v>94</v>
      </c>
      <c r="E102">
        <v>12</v>
      </c>
      <c r="F102" t="s">
        <v>92</v>
      </c>
      <c r="G102" t="s">
        <v>95</v>
      </c>
      <c r="H102">
        <v>0.5</v>
      </c>
      <c r="J102">
        <v>-7764.2149056487142</v>
      </c>
      <c r="K102">
        <v>0.03</v>
      </c>
      <c r="L102">
        <v>1</v>
      </c>
      <c r="N102">
        <v>0.03</v>
      </c>
      <c r="O102">
        <v>-232.9264471694614</v>
      </c>
    </row>
    <row r="103" spans="1:15" hidden="1" x14ac:dyDescent="0.35">
      <c r="A103" t="s">
        <v>23</v>
      </c>
      <c r="B103" t="s">
        <v>51</v>
      </c>
      <c r="C103">
        <v>5</v>
      </c>
      <c r="D103" t="s">
        <v>96</v>
      </c>
      <c r="E103">
        <v>16</v>
      </c>
      <c r="F103" t="s">
        <v>92</v>
      </c>
      <c r="G103" t="s">
        <v>97</v>
      </c>
      <c r="H103">
        <v>0.5</v>
      </c>
      <c r="J103">
        <v>-9781.7535162789682</v>
      </c>
      <c r="K103">
        <v>0.03</v>
      </c>
      <c r="L103">
        <v>1</v>
      </c>
      <c r="N103">
        <v>0.03</v>
      </c>
      <c r="O103">
        <v>-293.45260548836899</v>
      </c>
    </row>
    <row r="104" spans="1:15" hidden="1" x14ac:dyDescent="0.35">
      <c r="A104" t="s">
        <v>23</v>
      </c>
      <c r="B104" t="s">
        <v>51</v>
      </c>
      <c r="C104">
        <v>5</v>
      </c>
      <c r="D104" t="s">
        <v>98</v>
      </c>
      <c r="E104">
        <v>8</v>
      </c>
      <c r="F104" t="s">
        <v>99</v>
      </c>
      <c r="G104" t="s">
        <v>93</v>
      </c>
      <c r="H104">
        <v>1</v>
      </c>
      <c r="J104">
        <v>-908617.65499420243</v>
      </c>
      <c r="K104">
        <v>0.03</v>
      </c>
      <c r="L104">
        <v>1</v>
      </c>
      <c r="N104">
        <v>0.03</v>
      </c>
      <c r="O104">
        <v>-27258.529649826069</v>
      </c>
    </row>
    <row r="105" spans="1:15" hidden="1" x14ac:dyDescent="0.35">
      <c r="A105" t="s">
        <v>23</v>
      </c>
      <c r="B105" t="s">
        <v>51</v>
      </c>
      <c r="C105">
        <v>5</v>
      </c>
      <c r="D105" t="s">
        <v>100</v>
      </c>
      <c r="E105">
        <v>12</v>
      </c>
      <c r="F105" t="s">
        <v>99</v>
      </c>
      <c r="G105" t="s">
        <v>95</v>
      </c>
      <c r="H105">
        <v>1</v>
      </c>
      <c r="J105">
        <v>-47674.52966257224</v>
      </c>
      <c r="K105">
        <v>0.03</v>
      </c>
      <c r="L105">
        <v>1</v>
      </c>
      <c r="N105">
        <v>0.03</v>
      </c>
      <c r="O105">
        <v>-1430.235889877167</v>
      </c>
    </row>
    <row r="106" spans="1:15" hidden="1" x14ac:dyDescent="0.35">
      <c r="A106" t="s">
        <v>23</v>
      </c>
      <c r="B106" t="s">
        <v>51</v>
      </c>
      <c r="C106">
        <v>5</v>
      </c>
      <c r="D106" t="s">
        <v>101</v>
      </c>
      <c r="E106">
        <v>16</v>
      </c>
      <c r="F106" t="s">
        <v>99</v>
      </c>
      <c r="G106" t="s">
        <v>97</v>
      </c>
      <c r="H106">
        <v>1</v>
      </c>
      <c r="J106">
        <v>-57604.98026660343</v>
      </c>
      <c r="K106">
        <v>0.03</v>
      </c>
      <c r="L106">
        <v>1</v>
      </c>
      <c r="N106">
        <v>0.03</v>
      </c>
      <c r="O106">
        <v>-1728.149407998103</v>
      </c>
    </row>
    <row r="107" spans="1:15" hidden="1" x14ac:dyDescent="0.35">
      <c r="A107" t="s">
        <v>23</v>
      </c>
      <c r="B107" t="s">
        <v>51</v>
      </c>
      <c r="C107">
        <v>5</v>
      </c>
      <c r="D107" t="s">
        <v>102</v>
      </c>
      <c r="E107">
        <v>8</v>
      </c>
      <c r="F107" t="s">
        <v>103</v>
      </c>
      <c r="G107" t="s">
        <v>93</v>
      </c>
      <c r="H107">
        <v>3</v>
      </c>
      <c r="J107">
        <v>-389423.32989120128</v>
      </c>
      <c r="K107">
        <v>0.03</v>
      </c>
      <c r="L107">
        <v>1</v>
      </c>
      <c r="N107">
        <v>0.03</v>
      </c>
      <c r="O107">
        <v>-11682.69989673604</v>
      </c>
    </row>
    <row r="108" spans="1:15" hidden="1" x14ac:dyDescent="0.35">
      <c r="A108" t="s">
        <v>23</v>
      </c>
      <c r="B108" t="s">
        <v>51</v>
      </c>
      <c r="C108">
        <v>5</v>
      </c>
      <c r="D108" t="s">
        <v>104</v>
      </c>
      <c r="E108">
        <v>12</v>
      </c>
      <c r="F108" t="s">
        <v>103</v>
      </c>
      <c r="G108" t="s">
        <v>95</v>
      </c>
      <c r="H108">
        <v>3</v>
      </c>
      <c r="J108">
        <v>-143895.84824232309</v>
      </c>
      <c r="K108">
        <v>0.03</v>
      </c>
      <c r="L108">
        <v>1</v>
      </c>
      <c r="N108">
        <v>0.03</v>
      </c>
      <c r="O108">
        <v>-4316.8754472696928</v>
      </c>
    </row>
    <row r="109" spans="1:15" hidden="1" x14ac:dyDescent="0.35">
      <c r="A109" t="s">
        <v>23</v>
      </c>
      <c r="B109" t="s">
        <v>51</v>
      </c>
      <c r="C109">
        <v>5</v>
      </c>
      <c r="D109" t="s">
        <v>105</v>
      </c>
      <c r="E109">
        <v>16</v>
      </c>
      <c r="F109" t="s">
        <v>103</v>
      </c>
      <c r="G109" t="s">
        <v>97</v>
      </c>
      <c r="H109">
        <v>3</v>
      </c>
      <c r="J109">
        <v>-731293.377132772</v>
      </c>
      <c r="K109">
        <v>0.03</v>
      </c>
      <c r="L109">
        <v>1</v>
      </c>
      <c r="N109">
        <v>0.03</v>
      </c>
      <c r="O109">
        <v>-21938.80131398316</v>
      </c>
    </row>
    <row r="110" spans="1:15" hidden="1" x14ac:dyDescent="0.35">
      <c r="A110" t="s">
        <v>23</v>
      </c>
      <c r="B110" t="s">
        <v>51</v>
      </c>
      <c r="C110">
        <v>5</v>
      </c>
      <c r="D110" t="s">
        <v>106</v>
      </c>
      <c r="E110">
        <v>12</v>
      </c>
      <c r="F110" t="s">
        <v>107</v>
      </c>
      <c r="G110" t="s">
        <v>95</v>
      </c>
      <c r="H110">
        <v>5</v>
      </c>
      <c r="J110">
        <v>-2157389.8691076459</v>
      </c>
      <c r="K110">
        <v>0.03</v>
      </c>
      <c r="L110">
        <v>1</v>
      </c>
      <c r="N110">
        <v>0.03</v>
      </c>
      <c r="O110">
        <v>-64721.696073229366</v>
      </c>
    </row>
    <row r="111" spans="1:15" hidden="1" x14ac:dyDescent="0.35">
      <c r="A111" t="s">
        <v>23</v>
      </c>
      <c r="B111" t="s">
        <v>51</v>
      </c>
      <c r="C111">
        <v>5</v>
      </c>
      <c r="D111" t="s">
        <v>108</v>
      </c>
      <c r="E111">
        <v>16</v>
      </c>
      <c r="F111" t="s">
        <v>107</v>
      </c>
      <c r="G111" t="s">
        <v>97</v>
      </c>
      <c r="H111">
        <v>5</v>
      </c>
      <c r="J111">
        <v>-2756783.5500434511</v>
      </c>
      <c r="K111">
        <v>0.03</v>
      </c>
      <c r="L111">
        <v>1</v>
      </c>
      <c r="N111">
        <v>0.03</v>
      </c>
      <c r="O111">
        <v>-82703.506501303535</v>
      </c>
    </row>
    <row r="112" spans="1:15" hidden="1" x14ac:dyDescent="0.35">
      <c r="A112" t="s">
        <v>23</v>
      </c>
      <c r="B112" t="s">
        <v>51</v>
      </c>
      <c r="C112">
        <v>5</v>
      </c>
      <c r="D112" t="s">
        <v>109</v>
      </c>
      <c r="E112">
        <v>12</v>
      </c>
      <c r="F112" t="s">
        <v>110</v>
      </c>
      <c r="G112" t="s">
        <v>95</v>
      </c>
      <c r="H112">
        <v>10</v>
      </c>
      <c r="J112">
        <v>-3181693.338927004</v>
      </c>
      <c r="K112">
        <v>0.03</v>
      </c>
      <c r="L112">
        <v>1</v>
      </c>
      <c r="N112">
        <v>0.03</v>
      </c>
      <c r="O112">
        <v>-95450.800167810114</v>
      </c>
    </row>
    <row r="113" spans="1:15" hidden="1" x14ac:dyDescent="0.35">
      <c r="A113" t="s">
        <v>23</v>
      </c>
      <c r="B113" t="s">
        <v>51</v>
      </c>
      <c r="C113">
        <v>6</v>
      </c>
      <c r="D113" t="s">
        <v>111</v>
      </c>
      <c r="E113">
        <v>3</v>
      </c>
      <c r="F113" t="s">
        <v>112</v>
      </c>
      <c r="G113" t="s">
        <v>113</v>
      </c>
      <c r="H113">
        <v>0.5</v>
      </c>
      <c r="J113">
        <v>-8146.620403124416</v>
      </c>
      <c r="K113">
        <v>0.02</v>
      </c>
      <c r="L113">
        <v>1</v>
      </c>
      <c r="N113">
        <v>0.02</v>
      </c>
      <c r="O113">
        <v>-162.93240806248829</v>
      </c>
    </row>
    <row r="114" spans="1:15" hidden="1" x14ac:dyDescent="0.35">
      <c r="A114" t="s">
        <v>23</v>
      </c>
      <c r="B114" t="s">
        <v>51</v>
      </c>
      <c r="C114">
        <v>6</v>
      </c>
      <c r="D114" t="s">
        <v>114</v>
      </c>
      <c r="E114">
        <v>4</v>
      </c>
      <c r="F114" t="s">
        <v>112</v>
      </c>
      <c r="G114" t="s">
        <v>115</v>
      </c>
      <c r="H114">
        <v>0.5</v>
      </c>
      <c r="J114">
        <v>-6594.5181987103751</v>
      </c>
      <c r="K114">
        <v>0.02</v>
      </c>
      <c r="L114">
        <v>1</v>
      </c>
      <c r="N114">
        <v>0.02</v>
      </c>
      <c r="O114">
        <v>-131.8903639742075</v>
      </c>
    </row>
    <row r="115" spans="1:15" hidden="1" x14ac:dyDescent="0.35">
      <c r="A115" t="s">
        <v>23</v>
      </c>
      <c r="B115" t="s">
        <v>51</v>
      </c>
      <c r="C115">
        <v>6</v>
      </c>
      <c r="D115" t="s">
        <v>116</v>
      </c>
      <c r="E115">
        <v>6</v>
      </c>
      <c r="F115" t="s">
        <v>112</v>
      </c>
      <c r="G115" t="s">
        <v>117</v>
      </c>
      <c r="H115">
        <v>0.5</v>
      </c>
      <c r="J115">
        <v>-19793.25489037365</v>
      </c>
      <c r="K115">
        <v>0.02</v>
      </c>
      <c r="L115">
        <v>1</v>
      </c>
      <c r="N115">
        <v>0.02</v>
      </c>
      <c r="O115">
        <v>-395.86509780747298</v>
      </c>
    </row>
    <row r="116" spans="1:15" hidden="1" x14ac:dyDescent="0.35">
      <c r="A116" t="s">
        <v>23</v>
      </c>
      <c r="B116" t="s">
        <v>51</v>
      </c>
      <c r="C116">
        <v>6</v>
      </c>
      <c r="D116" t="s">
        <v>118</v>
      </c>
      <c r="E116">
        <v>14</v>
      </c>
      <c r="F116" t="s">
        <v>112</v>
      </c>
      <c r="G116" t="s">
        <v>119</v>
      </c>
      <c r="H116">
        <v>0.5</v>
      </c>
      <c r="J116">
        <v>-7103.0333227781739</v>
      </c>
      <c r="K116">
        <v>0.02</v>
      </c>
      <c r="L116">
        <v>1</v>
      </c>
      <c r="N116">
        <v>0.02</v>
      </c>
      <c r="O116">
        <v>-142.06066645556351</v>
      </c>
    </row>
    <row r="117" spans="1:15" hidden="1" x14ac:dyDescent="0.35">
      <c r="A117" t="s">
        <v>23</v>
      </c>
      <c r="B117" t="s">
        <v>51</v>
      </c>
      <c r="C117">
        <v>6</v>
      </c>
      <c r="D117" t="s">
        <v>120</v>
      </c>
      <c r="E117">
        <v>15</v>
      </c>
      <c r="F117" t="s">
        <v>112</v>
      </c>
      <c r="G117" t="s">
        <v>121</v>
      </c>
      <c r="H117">
        <v>0.5</v>
      </c>
      <c r="J117">
        <v>-10123.95090299378</v>
      </c>
      <c r="K117">
        <v>0.02</v>
      </c>
      <c r="L117">
        <v>1</v>
      </c>
      <c r="N117">
        <v>0.02</v>
      </c>
      <c r="O117">
        <v>-202.47901805987561</v>
      </c>
    </row>
    <row r="118" spans="1:15" hidden="1" x14ac:dyDescent="0.35">
      <c r="A118" t="s">
        <v>23</v>
      </c>
      <c r="B118" t="s">
        <v>51</v>
      </c>
      <c r="C118">
        <v>6</v>
      </c>
      <c r="D118" t="s">
        <v>122</v>
      </c>
      <c r="E118">
        <v>19</v>
      </c>
      <c r="F118" t="s">
        <v>112</v>
      </c>
      <c r="G118" t="s">
        <v>123</v>
      </c>
      <c r="H118">
        <v>0.5</v>
      </c>
      <c r="J118">
        <v>-19662.252617536069</v>
      </c>
      <c r="K118">
        <v>0.02</v>
      </c>
      <c r="L118">
        <v>1</v>
      </c>
      <c r="N118">
        <v>0.02</v>
      </c>
      <c r="O118">
        <v>-393.24505235072138</v>
      </c>
    </row>
    <row r="119" spans="1:15" hidden="1" x14ac:dyDescent="0.35">
      <c r="A119" t="s">
        <v>23</v>
      </c>
      <c r="B119" t="s">
        <v>51</v>
      </c>
      <c r="C119">
        <v>6</v>
      </c>
      <c r="D119" t="s">
        <v>124</v>
      </c>
      <c r="E119">
        <v>3</v>
      </c>
      <c r="F119" t="s">
        <v>125</v>
      </c>
      <c r="G119" t="s">
        <v>113</v>
      </c>
      <c r="H119">
        <v>1</v>
      </c>
      <c r="J119">
        <v>-888111.68508743774</v>
      </c>
      <c r="K119">
        <v>0.02</v>
      </c>
      <c r="L119">
        <v>1</v>
      </c>
      <c r="N119">
        <v>0.02</v>
      </c>
      <c r="O119">
        <v>-17762.233701748759</v>
      </c>
    </row>
    <row r="120" spans="1:15" hidden="1" x14ac:dyDescent="0.35">
      <c r="A120" t="s">
        <v>23</v>
      </c>
      <c r="B120" t="s">
        <v>51</v>
      </c>
      <c r="C120">
        <v>6</v>
      </c>
      <c r="D120" t="s">
        <v>126</v>
      </c>
      <c r="E120">
        <v>4</v>
      </c>
      <c r="F120" t="s">
        <v>125</v>
      </c>
      <c r="G120" t="s">
        <v>115</v>
      </c>
      <c r="H120">
        <v>1</v>
      </c>
      <c r="J120">
        <v>-799235.8235538858</v>
      </c>
      <c r="K120">
        <v>0.02</v>
      </c>
      <c r="L120">
        <v>1</v>
      </c>
      <c r="N120">
        <v>0.02</v>
      </c>
      <c r="O120">
        <v>-15984.71647107772</v>
      </c>
    </row>
    <row r="121" spans="1:15" hidden="1" x14ac:dyDescent="0.35">
      <c r="A121" t="s">
        <v>23</v>
      </c>
      <c r="B121" t="s">
        <v>51</v>
      </c>
      <c r="C121">
        <v>6</v>
      </c>
      <c r="D121" t="s">
        <v>127</v>
      </c>
      <c r="E121">
        <v>6</v>
      </c>
      <c r="F121" t="s">
        <v>125</v>
      </c>
      <c r="G121" t="s">
        <v>117</v>
      </c>
      <c r="H121">
        <v>1</v>
      </c>
      <c r="J121">
        <v>-113659.16121746979</v>
      </c>
      <c r="K121">
        <v>0.02</v>
      </c>
      <c r="L121">
        <v>1</v>
      </c>
      <c r="N121">
        <v>0.02</v>
      </c>
      <c r="O121">
        <v>-2273.1832243493959</v>
      </c>
    </row>
    <row r="122" spans="1:15" hidden="1" x14ac:dyDescent="0.35">
      <c r="A122" t="s">
        <v>23</v>
      </c>
      <c r="B122" t="s">
        <v>51</v>
      </c>
      <c r="C122">
        <v>6</v>
      </c>
      <c r="D122" t="s">
        <v>128</v>
      </c>
      <c r="E122">
        <v>14</v>
      </c>
      <c r="F122" t="s">
        <v>125</v>
      </c>
      <c r="G122" t="s">
        <v>119</v>
      </c>
      <c r="H122">
        <v>1</v>
      </c>
      <c r="J122">
        <v>-229712.20887109209</v>
      </c>
      <c r="K122">
        <v>0.02</v>
      </c>
      <c r="L122">
        <v>1</v>
      </c>
      <c r="N122">
        <v>0.02</v>
      </c>
      <c r="O122">
        <v>-4594.2441774218423</v>
      </c>
    </row>
    <row r="123" spans="1:15" hidden="1" x14ac:dyDescent="0.35">
      <c r="A123" t="s">
        <v>23</v>
      </c>
      <c r="B123" t="s">
        <v>51</v>
      </c>
      <c r="C123">
        <v>6</v>
      </c>
      <c r="D123" t="s">
        <v>129</v>
      </c>
      <c r="E123">
        <v>15</v>
      </c>
      <c r="F123" t="s">
        <v>125</v>
      </c>
      <c r="G123" t="s">
        <v>121</v>
      </c>
      <c r="H123">
        <v>1</v>
      </c>
      <c r="J123">
        <v>-67617.448430269171</v>
      </c>
      <c r="K123">
        <v>0.02</v>
      </c>
      <c r="L123">
        <v>1</v>
      </c>
      <c r="N123">
        <v>0.02</v>
      </c>
      <c r="O123">
        <v>-1352.3489686053831</v>
      </c>
    </row>
    <row r="124" spans="1:15" hidden="1" x14ac:dyDescent="0.35">
      <c r="A124" t="s">
        <v>23</v>
      </c>
      <c r="B124" t="s">
        <v>51</v>
      </c>
      <c r="C124">
        <v>6</v>
      </c>
      <c r="D124" t="s">
        <v>130</v>
      </c>
      <c r="E124">
        <v>19</v>
      </c>
      <c r="F124" t="s">
        <v>125</v>
      </c>
      <c r="G124" t="s">
        <v>123</v>
      </c>
      <c r="H124">
        <v>1</v>
      </c>
      <c r="J124">
        <v>-113873.41703107271</v>
      </c>
      <c r="K124">
        <v>0.02</v>
      </c>
      <c r="L124">
        <v>1</v>
      </c>
      <c r="N124">
        <v>0.02</v>
      </c>
      <c r="O124">
        <v>-2277.468340621454</v>
      </c>
    </row>
    <row r="125" spans="1:15" hidden="1" x14ac:dyDescent="0.35">
      <c r="A125" t="s">
        <v>23</v>
      </c>
      <c r="B125" t="s">
        <v>51</v>
      </c>
      <c r="C125">
        <v>6</v>
      </c>
      <c r="D125" t="s">
        <v>131</v>
      </c>
      <c r="E125">
        <v>3</v>
      </c>
      <c r="F125" t="s">
        <v>132</v>
      </c>
      <c r="G125" t="s">
        <v>113</v>
      </c>
      <c r="H125">
        <v>3</v>
      </c>
      <c r="J125">
        <v>-124200.59803821459</v>
      </c>
      <c r="K125">
        <v>0.02</v>
      </c>
      <c r="L125">
        <v>1</v>
      </c>
      <c r="N125">
        <v>0.02</v>
      </c>
      <c r="O125">
        <v>-2484.0119607642919</v>
      </c>
    </row>
    <row r="126" spans="1:15" hidden="1" x14ac:dyDescent="0.35">
      <c r="A126" t="s">
        <v>23</v>
      </c>
      <c r="B126" t="s">
        <v>51</v>
      </c>
      <c r="C126">
        <v>6</v>
      </c>
      <c r="D126" t="s">
        <v>133</v>
      </c>
      <c r="E126">
        <v>4</v>
      </c>
      <c r="F126" t="s">
        <v>132</v>
      </c>
      <c r="G126" t="s">
        <v>115</v>
      </c>
      <c r="H126">
        <v>3</v>
      </c>
      <c r="J126">
        <v>-816485.70841826987</v>
      </c>
      <c r="K126">
        <v>0.02</v>
      </c>
      <c r="L126">
        <v>1</v>
      </c>
      <c r="N126">
        <v>0.02</v>
      </c>
      <c r="O126">
        <v>-16329.714168365401</v>
      </c>
    </row>
    <row r="127" spans="1:15" hidden="1" x14ac:dyDescent="0.35">
      <c r="A127" t="s">
        <v>23</v>
      </c>
      <c r="B127" t="s">
        <v>51</v>
      </c>
      <c r="C127">
        <v>6</v>
      </c>
      <c r="D127" t="s">
        <v>134</v>
      </c>
      <c r="E127">
        <v>6</v>
      </c>
      <c r="F127" t="s">
        <v>132</v>
      </c>
      <c r="G127" t="s">
        <v>117</v>
      </c>
      <c r="H127">
        <v>3</v>
      </c>
      <c r="J127">
        <v>-1897688.008100545</v>
      </c>
      <c r="K127">
        <v>0.02</v>
      </c>
      <c r="L127">
        <v>1</v>
      </c>
      <c r="N127">
        <v>0.02</v>
      </c>
      <c r="O127">
        <v>-37953.760162010898</v>
      </c>
    </row>
    <row r="128" spans="1:15" hidden="1" x14ac:dyDescent="0.35">
      <c r="A128" t="s">
        <v>23</v>
      </c>
      <c r="B128" t="s">
        <v>51</v>
      </c>
      <c r="C128">
        <v>6</v>
      </c>
      <c r="D128" t="s">
        <v>135</v>
      </c>
      <c r="E128">
        <v>14</v>
      </c>
      <c r="F128" t="s">
        <v>132</v>
      </c>
      <c r="G128" t="s">
        <v>119</v>
      </c>
      <c r="H128">
        <v>3</v>
      </c>
      <c r="J128">
        <v>-1957948.808951016</v>
      </c>
      <c r="K128">
        <v>0.02</v>
      </c>
      <c r="L128">
        <v>1</v>
      </c>
      <c r="N128">
        <v>0.02</v>
      </c>
      <c r="O128">
        <v>-39158.976179020319</v>
      </c>
    </row>
    <row r="129" spans="1:15" hidden="1" x14ac:dyDescent="0.35">
      <c r="A129" t="s">
        <v>23</v>
      </c>
      <c r="B129" t="s">
        <v>51</v>
      </c>
      <c r="C129">
        <v>6</v>
      </c>
      <c r="D129" t="s">
        <v>136</v>
      </c>
      <c r="E129">
        <v>15</v>
      </c>
      <c r="F129" t="s">
        <v>132</v>
      </c>
      <c r="G129" t="s">
        <v>121</v>
      </c>
      <c r="H129">
        <v>3</v>
      </c>
      <c r="J129">
        <v>-2078143.8373113021</v>
      </c>
      <c r="K129">
        <v>0.02</v>
      </c>
      <c r="L129">
        <v>1</v>
      </c>
      <c r="N129">
        <v>0.02</v>
      </c>
      <c r="O129">
        <v>-41562.876746226037</v>
      </c>
    </row>
    <row r="130" spans="1:15" hidden="1" x14ac:dyDescent="0.35">
      <c r="A130" t="s">
        <v>23</v>
      </c>
      <c r="B130" t="s">
        <v>51</v>
      </c>
      <c r="C130">
        <v>6</v>
      </c>
      <c r="D130" t="s">
        <v>137</v>
      </c>
      <c r="E130">
        <v>19</v>
      </c>
      <c r="F130" t="s">
        <v>132</v>
      </c>
      <c r="G130" t="s">
        <v>123</v>
      </c>
      <c r="H130">
        <v>3</v>
      </c>
      <c r="J130">
        <v>-2233290.285596808</v>
      </c>
      <c r="K130">
        <v>0.02</v>
      </c>
      <c r="L130">
        <v>1</v>
      </c>
      <c r="N130">
        <v>0.02</v>
      </c>
      <c r="O130">
        <v>-44665.805711936162</v>
      </c>
    </row>
    <row r="131" spans="1:15" hidden="1" x14ac:dyDescent="0.35">
      <c r="A131" t="s">
        <v>23</v>
      </c>
      <c r="B131" t="s">
        <v>51</v>
      </c>
      <c r="C131">
        <v>6</v>
      </c>
      <c r="D131" t="s">
        <v>138</v>
      </c>
      <c r="E131">
        <v>6</v>
      </c>
      <c r="F131" t="s">
        <v>139</v>
      </c>
      <c r="G131" t="s">
        <v>117</v>
      </c>
      <c r="H131">
        <v>5</v>
      </c>
      <c r="J131">
        <v>-1108651.8222960529</v>
      </c>
      <c r="K131">
        <v>0.02</v>
      </c>
      <c r="L131">
        <v>1</v>
      </c>
      <c r="N131">
        <v>0.02</v>
      </c>
      <c r="O131">
        <v>-22173.036445921061</v>
      </c>
    </row>
    <row r="132" spans="1:15" hidden="1" x14ac:dyDescent="0.35">
      <c r="A132" t="s">
        <v>23</v>
      </c>
      <c r="B132" t="s">
        <v>51</v>
      </c>
      <c r="C132">
        <v>6</v>
      </c>
      <c r="D132" t="s">
        <v>140</v>
      </c>
      <c r="E132">
        <v>15</v>
      </c>
      <c r="F132" t="s">
        <v>139</v>
      </c>
      <c r="G132" t="s">
        <v>121</v>
      </c>
      <c r="H132">
        <v>5</v>
      </c>
      <c r="J132">
        <v>-580033.52851153514</v>
      </c>
      <c r="K132">
        <v>0.02</v>
      </c>
      <c r="L132">
        <v>1</v>
      </c>
      <c r="N132">
        <v>0.02</v>
      </c>
      <c r="O132">
        <v>-11600.670570230701</v>
      </c>
    </row>
    <row r="133" spans="1:15" hidden="1" x14ac:dyDescent="0.35">
      <c r="A133" t="s">
        <v>23</v>
      </c>
      <c r="B133" t="s">
        <v>51</v>
      </c>
      <c r="C133">
        <v>6</v>
      </c>
      <c r="D133" t="s">
        <v>141</v>
      </c>
      <c r="E133">
        <v>19</v>
      </c>
      <c r="F133" t="s">
        <v>139</v>
      </c>
      <c r="G133" t="s">
        <v>123</v>
      </c>
      <c r="H133">
        <v>5</v>
      </c>
      <c r="J133">
        <v>-397260.16844389267</v>
      </c>
      <c r="K133">
        <v>0.02</v>
      </c>
      <c r="L133">
        <v>1</v>
      </c>
      <c r="N133">
        <v>0.02</v>
      </c>
      <c r="O133">
        <v>-7945.2033688778538</v>
      </c>
    </row>
    <row r="134" spans="1:15" hidden="1" x14ac:dyDescent="0.35">
      <c r="A134" t="s">
        <v>23</v>
      </c>
      <c r="B134" t="s">
        <v>51</v>
      </c>
      <c r="C134">
        <v>7</v>
      </c>
      <c r="D134" t="s">
        <v>142</v>
      </c>
      <c r="E134">
        <v>7</v>
      </c>
      <c r="F134" t="s">
        <v>143</v>
      </c>
      <c r="G134" t="s">
        <v>144</v>
      </c>
      <c r="H134">
        <v>0.5</v>
      </c>
      <c r="J134">
        <v>-10934.518205658611</v>
      </c>
      <c r="K134">
        <v>1.4999999999999999E-2</v>
      </c>
      <c r="L134">
        <v>1</v>
      </c>
      <c r="N134">
        <v>1.4999999999999999E-2</v>
      </c>
      <c r="O134">
        <v>-164.0177730848792</v>
      </c>
    </row>
    <row r="135" spans="1:15" hidden="1" x14ac:dyDescent="0.35">
      <c r="A135" t="s">
        <v>23</v>
      </c>
      <c r="B135" t="s">
        <v>51</v>
      </c>
      <c r="C135">
        <v>7</v>
      </c>
      <c r="D135" t="s">
        <v>145</v>
      </c>
      <c r="E135">
        <v>13</v>
      </c>
      <c r="F135" t="s">
        <v>143</v>
      </c>
      <c r="G135" t="s">
        <v>146</v>
      </c>
      <c r="H135">
        <v>0.5</v>
      </c>
      <c r="J135">
        <v>-94183.114757584</v>
      </c>
      <c r="K135">
        <v>1.4999999999999999E-2</v>
      </c>
      <c r="L135">
        <v>1</v>
      </c>
      <c r="N135">
        <v>1.4999999999999999E-2</v>
      </c>
      <c r="O135">
        <v>-1412.7467213637599</v>
      </c>
    </row>
    <row r="136" spans="1:15" hidden="1" x14ac:dyDescent="0.35">
      <c r="A136" t="s">
        <v>23</v>
      </c>
      <c r="B136" t="s">
        <v>51</v>
      </c>
      <c r="C136">
        <v>7</v>
      </c>
      <c r="D136" t="s">
        <v>147</v>
      </c>
      <c r="E136">
        <v>21</v>
      </c>
      <c r="F136" t="s">
        <v>143</v>
      </c>
      <c r="G136" t="s">
        <v>148</v>
      </c>
      <c r="H136">
        <v>0.5</v>
      </c>
      <c r="J136">
        <v>-6949.400519658866</v>
      </c>
      <c r="K136">
        <v>1.4999999999999999E-2</v>
      </c>
      <c r="L136">
        <v>1</v>
      </c>
      <c r="N136">
        <v>1.4999999999999999E-2</v>
      </c>
      <c r="O136">
        <v>-104.241007794883</v>
      </c>
    </row>
    <row r="137" spans="1:15" hidden="1" x14ac:dyDescent="0.35">
      <c r="A137" t="s">
        <v>23</v>
      </c>
      <c r="B137" t="s">
        <v>51</v>
      </c>
      <c r="C137">
        <v>7</v>
      </c>
      <c r="D137" t="s">
        <v>149</v>
      </c>
      <c r="E137">
        <v>7</v>
      </c>
      <c r="F137" t="s">
        <v>150</v>
      </c>
      <c r="G137" t="s">
        <v>144</v>
      </c>
      <c r="H137">
        <v>1</v>
      </c>
      <c r="J137">
        <v>-67777.738289521498</v>
      </c>
      <c r="K137">
        <v>1.4999999999999999E-2</v>
      </c>
      <c r="L137">
        <v>1</v>
      </c>
      <c r="N137">
        <v>1.4999999999999999E-2</v>
      </c>
      <c r="O137">
        <v>-1016.666074342822</v>
      </c>
    </row>
    <row r="138" spans="1:15" hidden="1" x14ac:dyDescent="0.35">
      <c r="A138" t="s">
        <v>23</v>
      </c>
      <c r="B138" t="s">
        <v>51</v>
      </c>
      <c r="C138">
        <v>7</v>
      </c>
      <c r="D138" t="s">
        <v>151</v>
      </c>
      <c r="E138">
        <v>13</v>
      </c>
      <c r="F138" t="s">
        <v>150</v>
      </c>
      <c r="G138" t="s">
        <v>146</v>
      </c>
      <c r="H138">
        <v>1</v>
      </c>
      <c r="J138">
        <v>-678865.96610134118</v>
      </c>
      <c r="K138">
        <v>1.4999999999999999E-2</v>
      </c>
      <c r="L138">
        <v>1</v>
      </c>
      <c r="N138">
        <v>1.4999999999999999E-2</v>
      </c>
      <c r="O138">
        <v>-10182.98949152012</v>
      </c>
    </row>
    <row r="139" spans="1:15" hidden="1" x14ac:dyDescent="0.35">
      <c r="A139" t="s">
        <v>23</v>
      </c>
      <c r="B139" t="s">
        <v>51</v>
      </c>
      <c r="C139">
        <v>7</v>
      </c>
      <c r="D139" t="s">
        <v>152</v>
      </c>
      <c r="E139">
        <v>21</v>
      </c>
      <c r="F139" t="s">
        <v>150</v>
      </c>
      <c r="G139" t="s">
        <v>148</v>
      </c>
      <c r="H139">
        <v>1</v>
      </c>
      <c r="J139">
        <v>-901888.85305667552</v>
      </c>
      <c r="K139">
        <v>1.4999999999999999E-2</v>
      </c>
      <c r="L139">
        <v>1</v>
      </c>
      <c r="N139">
        <v>1.4999999999999999E-2</v>
      </c>
      <c r="O139">
        <v>-13528.33279585013</v>
      </c>
    </row>
    <row r="140" spans="1:15" hidden="1" x14ac:dyDescent="0.35">
      <c r="A140" t="s">
        <v>23</v>
      </c>
      <c r="B140" t="s">
        <v>51</v>
      </c>
      <c r="C140">
        <v>7</v>
      </c>
      <c r="D140" t="s">
        <v>153</v>
      </c>
      <c r="E140">
        <v>7</v>
      </c>
      <c r="F140" t="s">
        <v>154</v>
      </c>
      <c r="G140" t="s">
        <v>144</v>
      </c>
      <c r="H140">
        <v>3</v>
      </c>
      <c r="J140">
        <v>-1204518.6606841299</v>
      </c>
      <c r="K140">
        <v>1.4999999999999999E-2</v>
      </c>
      <c r="L140">
        <v>1</v>
      </c>
      <c r="N140">
        <v>1.4999999999999999E-2</v>
      </c>
      <c r="O140">
        <v>-18067.77991026195</v>
      </c>
    </row>
    <row r="141" spans="1:15" hidden="1" x14ac:dyDescent="0.35">
      <c r="A141" t="s">
        <v>23</v>
      </c>
      <c r="B141" t="s">
        <v>51</v>
      </c>
      <c r="C141">
        <v>7</v>
      </c>
      <c r="D141" t="s">
        <v>155</v>
      </c>
      <c r="E141">
        <v>21</v>
      </c>
      <c r="F141" t="s">
        <v>154</v>
      </c>
      <c r="G141" t="s">
        <v>148</v>
      </c>
      <c r="H141">
        <v>3</v>
      </c>
      <c r="J141">
        <v>-376359.97179052082</v>
      </c>
      <c r="K141">
        <v>1.4999999999999999E-2</v>
      </c>
      <c r="L141">
        <v>1</v>
      </c>
      <c r="N141">
        <v>1.4999999999999999E-2</v>
      </c>
      <c r="O141">
        <v>-5645.3995768578116</v>
      </c>
    </row>
    <row r="142" spans="1:15" hidden="1" x14ac:dyDescent="0.35">
      <c r="A142" t="s">
        <v>23</v>
      </c>
      <c r="B142" t="s">
        <v>51</v>
      </c>
      <c r="C142">
        <v>7</v>
      </c>
      <c r="D142" t="s">
        <v>156</v>
      </c>
      <c r="E142">
        <v>7</v>
      </c>
      <c r="F142" t="s">
        <v>157</v>
      </c>
      <c r="G142" t="s">
        <v>144</v>
      </c>
      <c r="H142">
        <v>5</v>
      </c>
      <c r="J142">
        <v>-2077793.9724511041</v>
      </c>
      <c r="K142">
        <v>1.4999999999999999E-2</v>
      </c>
      <c r="L142">
        <v>1</v>
      </c>
      <c r="N142">
        <v>1.4999999999999999E-2</v>
      </c>
      <c r="O142">
        <v>-31166.90958676656</v>
      </c>
    </row>
    <row r="143" spans="1:15" x14ac:dyDescent="0.35">
      <c r="A143" t="s">
        <v>23</v>
      </c>
      <c r="B143" t="s">
        <v>158</v>
      </c>
      <c r="C143">
        <v>1</v>
      </c>
      <c r="D143" t="s">
        <v>159</v>
      </c>
      <c r="E143">
        <v>37</v>
      </c>
      <c r="F143" t="s">
        <v>160</v>
      </c>
      <c r="G143" t="s">
        <v>161</v>
      </c>
      <c r="H143">
        <v>0.5</v>
      </c>
      <c r="J143">
        <v>-1104389.242455363</v>
      </c>
      <c r="K143">
        <v>8.9999999999999993E-3</v>
      </c>
      <c r="L143">
        <v>1</v>
      </c>
      <c r="N143">
        <v>8.9999999999999993E-3</v>
      </c>
      <c r="O143">
        <v>-9939.5031820982658</v>
      </c>
    </row>
    <row r="144" spans="1:15" x14ac:dyDescent="0.35">
      <c r="A144" t="s">
        <v>23</v>
      </c>
      <c r="B144" t="s">
        <v>158</v>
      </c>
      <c r="C144">
        <v>1</v>
      </c>
      <c r="D144" t="s">
        <v>162</v>
      </c>
      <c r="E144">
        <v>37</v>
      </c>
      <c r="F144" t="s">
        <v>163</v>
      </c>
      <c r="G144" t="s">
        <v>161</v>
      </c>
      <c r="H144">
        <v>1</v>
      </c>
      <c r="J144">
        <v>-11181740.66208303</v>
      </c>
      <c r="K144">
        <v>8.9999999999999993E-3</v>
      </c>
      <c r="L144">
        <v>1</v>
      </c>
      <c r="N144">
        <v>8.9999999999999993E-3</v>
      </c>
      <c r="O144">
        <v>-100635.6659587473</v>
      </c>
    </row>
    <row r="145" spans="1:15" x14ac:dyDescent="0.35">
      <c r="A145" t="s">
        <v>23</v>
      </c>
      <c r="B145" t="s">
        <v>158</v>
      </c>
      <c r="C145">
        <v>1</v>
      </c>
      <c r="D145" t="s">
        <v>164</v>
      </c>
      <c r="E145">
        <v>37</v>
      </c>
      <c r="F145" t="s">
        <v>165</v>
      </c>
      <c r="G145" t="s">
        <v>161</v>
      </c>
      <c r="H145">
        <v>3</v>
      </c>
      <c r="J145">
        <v>-81814499.418884516</v>
      </c>
      <c r="K145">
        <v>8.9999999999999993E-3</v>
      </c>
      <c r="L145">
        <v>1</v>
      </c>
      <c r="N145">
        <v>8.9999999999999993E-3</v>
      </c>
      <c r="O145">
        <v>-736330.49476996064</v>
      </c>
    </row>
    <row r="146" spans="1:15" x14ac:dyDescent="0.35">
      <c r="A146" t="s">
        <v>23</v>
      </c>
      <c r="B146" t="s">
        <v>158</v>
      </c>
      <c r="C146">
        <v>4</v>
      </c>
      <c r="D146" t="s">
        <v>166</v>
      </c>
      <c r="E146">
        <v>40</v>
      </c>
      <c r="F146" t="s">
        <v>167</v>
      </c>
      <c r="G146" t="s">
        <v>168</v>
      </c>
      <c r="H146">
        <v>0.5</v>
      </c>
      <c r="J146">
        <v>-955700.35547018051</v>
      </c>
      <c r="K146">
        <v>0.02</v>
      </c>
      <c r="L146">
        <v>1</v>
      </c>
      <c r="N146">
        <v>0.02</v>
      </c>
      <c r="O146">
        <v>-19114.00710940361</v>
      </c>
    </row>
    <row r="147" spans="1:15" x14ac:dyDescent="0.35">
      <c r="A147" t="s">
        <v>23</v>
      </c>
      <c r="B147" t="s">
        <v>158</v>
      </c>
      <c r="C147">
        <v>4</v>
      </c>
      <c r="D147" t="s">
        <v>169</v>
      </c>
      <c r="E147">
        <v>41</v>
      </c>
      <c r="F147" t="s">
        <v>167</v>
      </c>
      <c r="G147" t="s">
        <v>170</v>
      </c>
      <c r="H147">
        <v>0.5</v>
      </c>
      <c r="J147">
        <v>-76136.686708778143</v>
      </c>
      <c r="K147">
        <v>0.02</v>
      </c>
      <c r="L147">
        <v>1</v>
      </c>
      <c r="N147">
        <v>0.02</v>
      </c>
      <c r="O147">
        <v>-1522.7337341755631</v>
      </c>
    </row>
    <row r="148" spans="1:15" x14ac:dyDescent="0.35">
      <c r="A148" t="s">
        <v>23</v>
      </c>
      <c r="B148" t="s">
        <v>158</v>
      </c>
      <c r="C148">
        <v>4</v>
      </c>
      <c r="D148" t="s">
        <v>171</v>
      </c>
      <c r="E148">
        <v>40</v>
      </c>
      <c r="F148" t="s">
        <v>172</v>
      </c>
      <c r="G148" t="s">
        <v>168</v>
      </c>
      <c r="H148">
        <v>1</v>
      </c>
      <c r="J148">
        <v>-6781109.8454892635</v>
      </c>
      <c r="K148">
        <v>0.02</v>
      </c>
      <c r="L148">
        <v>1</v>
      </c>
      <c r="N148">
        <v>0.02</v>
      </c>
      <c r="O148">
        <v>-135622.1969097853</v>
      </c>
    </row>
    <row r="149" spans="1:15" x14ac:dyDescent="0.35">
      <c r="A149" t="s">
        <v>23</v>
      </c>
      <c r="B149" t="s">
        <v>158</v>
      </c>
      <c r="C149">
        <v>4</v>
      </c>
      <c r="D149" t="s">
        <v>173</v>
      </c>
      <c r="E149">
        <v>41</v>
      </c>
      <c r="F149" t="s">
        <v>172</v>
      </c>
      <c r="G149" t="s">
        <v>170</v>
      </c>
      <c r="H149">
        <v>1</v>
      </c>
      <c r="J149">
        <v>-535503.33256833255</v>
      </c>
      <c r="K149">
        <v>0.02</v>
      </c>
      <c r="L149">
        <v>1</v>
      </c>
      <c r="N149">
        <v>0.02</v>
      </c>
      <c r="O149">
        <v>-10710.066651366649</v>
      </c>
    </row>
    <row r="150" spans="1:15" x14ac:dyDescent="0.35">
      <c r="A150" t="s">
        <v>23</v>
      </c>
      <c r="B150" t="s">
        <v>158</v>
      </c>
      <c r="C150">
        <v>4</v>
      </c>
      <c r="D150" t="s">
        <v>174</v>
      </c>
      <c r="E150">
        <v>40</v>
      </c>
      <c r="F150" t="s">
        <v>175</v>
      </c>
      <c r="G150" t="s">
        <v>168</v>
      </c>
      <c r="H150">
        <v>3</v>
      </c>
      <c r="J150">
        <v>-20118222.523331638</v>
      </c>
      <c r="K150">
        <v>0.02</v>
      </c>
      <c r="L150">
        <v>1</v>
      </c>
      <c r="N150">
        <v>0.02</v>
      </c>
      <c r="O150">
        <v>-402364.45046663278</v>
      </c>
    </row>
    <row r="151" spans="1:15" x14ac:dyDescent="0.35">
      <c r="A151" t="s">
        <v>23</v>
      </c>
      <c r="B151" t="s">
        <v>158</v>
      </c>
      <c r="C151">
        <v>4</v>
      </c>
      <c r="D151" t="s">
        <v>176</v>
      </c>
      <c r="E151">
        <v>41</v>
      </c>
      <c r="F151" t="s">
        <v>175</v>
      </c>
      <c r="G151" t="s">
        <v>170</v>
      </c>
      <c r="H151">
        <v>3</v>
      </c>
      <c r="J151">
        <v>-1567878.5666357731</v>
      </c>
      <c r="K151">
        <v>0.02</v>
      </c>
      <c r="L151">
        <v>1</v>
      </c>
      <c r="N151">
        <v>0.02</v>
      </c>
      <c r="O151">
        <v>-31357.571332715459</v>
      </c>
    </row>
    <row r="152" spans="1:15" x14ac:dyDescent="0.35">
      <c r="A152" t="s">
        <v>23</v>
      </c>
      <c r="B152" t="s">
        <v>158</v>
      </c>
      <c r="C152">
        <v>4</v>
      </c>
      <c r="D152" t="s">
        <v>177</v>
      </c>
      <c r="E152">
        <v>40</v>
      </c>
      <c r="F152" t="s">
        <v>178</v>
      </c>
      <c r="G152" t="s">
        <v>168</v>
      </c>
      <c r="H152">
        <v>5</v>
      </c>
      <c r="J152">
        <v>-224373919.08884051</v>
      </c>
      <c r="K152">
        <v>0.02</v>
      </c>
      <c r="L152">
        <v>1</v>
      </c>
      <c r="N152">
        <v>0.02</v>
      </c>
      <c r="O152">
        <v>-4487478.3817768106</v>
      </c>
    </row>
    <row r="153" spans="1:15" x14ac:dyDescent="0.35">
      <c r="A153" t="s">
        <v>23</v>
      </c>
      <c r="B153" t="s">
        <v>158</v>
      </c>
      <c r="C153">
        <v>4</v>
      </c>
      <c r="D153" t="s">
        <v>179</v>
      </c>
      <c r="E153">
        <v>41</v>
      </c>
      <c r="F153" t="s">
        <v>178</v>
      </c>
      <c r="G153" t="s">
        <v>170</v>
      </c>
      <c r="H153">
        <v>5</v>
      </c>
      <c r="J153">
        <v>-16704108.947739011</v>
      </c>
      <c r="K153">
        <v>0.02</v>
      </c>
      <c r="L153">
        <v>1</v>
      </c>
      <c r="N153">
        <v>0.02</v>
      </c>
      <c r="O153">
        <v>-334082.17895478022</v>
      </c>
    </row>
    <row r="154" spans="1:15" x14ac:dyDescent="0.35">
      <c r="A154" t="s">
        <v>23</v>
      </c>
      <c r="B154" t="s">
        <v>158</v>
      </c>
      <c r="C154">
        <v>4</v>
      </c>
      <c r="D154" t="s">
        <v>180</v>
      </c>
      <c r="E154">
        <v>40</v>
      </c>
      <c r="F154" t="s">
        <v>181</v>
      </c>
      <c r="G154" t="s">
        <v>168</v>
      </c>
      <c r="H154">
        <v>10</v>
      </c>
      <c r="J154">
        <v>-384148289.91398221</v>
      </c>
      <c r="K154">
        <v>0.02</v>
      </c>
      <c r="L154">
        <v>1</v>
      </c>
      <c r="N154">
        <v>0.02</v>
      </c>
      <c r="O154">
        <v>-7682965.798279644</v>
      </c>
    </row>
    <row r="155" spans="1:15" x14ac:dyDescent="0.35">
      <c r="A155" t="s">
        <v>23</v>
      </c>
      <c r="B155" t="s">
        <v>158</v>
      </c>
      <c r="C155">
        <v>4</v>
      </c>
      <c r="D155" t="s">
        <v>182</v>
      </c>
      <c r="E155">
        <v>41</v>
      </c>
      <c r="F155" t="s">
        <v>181</v>
      </c>
      <c r="G155" t="s">
        <v>170</v>
      </c>
      <c r="H155">
        <v>10</v>
      </c>
      <c r="J155">
        <v>-28445049.339272082</v>
      </c>
      <c r="K155">
        <v>0.02</v>
      </c>
      <c r="L155">
        <v>1</v>
      </c>
      <c r="N155">
        <v>0.02</v>
      </c>
      <c r="O155">
        <v>-568900.98678544164</v>
      </c>
    </row>
    <row r="156" spans="1:15" x14ac:dyDescent="0.35">
      <c r="A156" t="s">
        <v>23</v>
      </c>
      <c r="B156" t="s">
        <v>158</v>
      </c>
      <c r="C156">
        <v>6</v>
      </c>
      <c r="D156" t="s">
        <v>183</v>
      </c>
      <c r="E156">
        <v>46</v>
      </c>
      <c r="F156" t="s">
        <v>184</v>
      </c>
      <c r="G156" t="s">
        <v>185</v>
      </c>
      <c r="H156">
        <v>0.5</v>
      </c>
      <c r="J156">
        <v>-134526385.64407831</v>
      </c>
      <c r="K156">
        <v>1.2E-2</v>
      </c>
      <c r="L156">
        <v>1</v>
      </c>
      <c r="N156">
        <v>1.2E-2</v>
      </c>
      <c r="O156">
        <v>-1614316.62772894</v>
      </c>
    </row>
    <row r="157" spans="1:15" x14ac:dyDescent="0.35">
      <c r="A157" t="s">
        <v>23</v>
      </c>
      <c r="B157" t="s">
        <v>158</v>
      </c>
      <c r="C157">
        <v>6</v>
      </c>
      <c r="D157" t="s">
        <v>186</v>
      </c>
      <c r="E157">
        <v>47</v>
      </c>
      <c r="F157" t="s">
        <v>184</v>
      </c>
      <c r="G157" t="s">
        <v>187</v>
      </c>
      <c r="H157">
        <v>0.5</v>
      </c>
      <c r="J157">
        <v>-1438243.7369227409</v>
      </c>
      <c r="K157">
        <v>1.2E-2</v>
      </c>
      <c r="L157">
        <v>1</v>
      </c>
      <c r="N157">
        <v>1.2E-2</v>
      </c>
      <c r="O157">
        <v>-17258.924843072891</v>
      </c>
    </row>
    <row r="158" spans="1:15" x14ac:dyDescent="0.35">
      <c r="A158" t="s">
        <v>23</v>
      </c>
      <c r="B158" t="s">
        <v>158</v>
      </c>
      <c r="C158">
        <v>6</v>
      </c>
      <c r="D158" t="s">
        <v>188</v>
      </c>
      <c r="E158">
        <v>46</v>
      </c>
      <c r="F158" t="s">
        <v>189</v>
      </c>
      <c r="G158" t="s">
        <v>185</v>
      </c>
      <c r="H158">
        <v>1</v>
      </c>
      <c r="J158">
        <v>-57353694.567084312</v>
      </c>
      <c r="K158">
        <v>1.2E-2</v>
      </c>
      <c r="L158">
        <v>1</v>
      </c>
      <c r="N158">
        <v>1.2E-2</v>
      </c>
      <c r="O158">
        <v>-688244.33480501175</v>
      </c>
    </row>
    <row r="159" spans="1:15" x14ac:dyDescent="0.35">
      <c r="A159" t="s">
        <v>23</v>
      </c>
      <c r="B159" t="s">
        <v>158</v>
      </c>
      <c r="C159">
        <v>6</v>
      </c>
      <c r="D159" t="s">
        <v>190</v>
      </c>
      <c r="E159">
        <v>47</v>
      </c>
      <c r="F159" t="s">
        <v>189</v>
      </c>
      <c r="G159" t="s">
        <v>187</v>
      </c>
      <c r="H159">
        <v>1</v>
      </c>
      <c r="J159">
        <v>-59326061.504781254</v>
      </c>
      <c r="K159">
        <v>1.2E-2</v>
      </c>
      <c r="L159">
        <v>1</v>
      </c>
      <c r="N159">
        <v>1.2E-2</v>
      </c>
      <c r="O159">
        <v>-711912.73805737507</v>
      </c>
    </row>
    <row r="160" spans="1:15" x14ac:dyDescent="0.35">
      <c r="A160" t="s">
        <v>23</v>
      </c>
      <c r="B160" t="s">
        <v>158</v>
      </c>
      <c r="C160">
        <v>6</v>
      </c>
      <c r="D160" t="s">
        <v>191</v>
      </c>
      <c r="E160">
        <v>47</v>
      </c>
      <c r="F160" t="s">
        <v>192</v>
      </c>
      <c r="G160" t="s">
        <v>187</v>
      </c>
      <c r="H160">
        <v>3</v>
      </c>
      <c r="J160">
        <v>-320617239.07917738</v>
      </c>
      <c r="K160">
        <v>1.2E-2</v>
      </c>
      <c r="L160">
        <v>1</v>
      </c>
      <c r="N160">
        <v>1.2E-2</v>
      </c>
      <c r="O160">
        <v>-3847406.868950129</v>
      </c>
    </row>
    <row r="161" spans="1:15" x14ac:dyDescent="0.35">
      <c r="A161" t="s">
        <v>23</v>
      </c>
      <c r="B161" t="s">
        <v>158</v>
      </c>
      <c r="C161">
        <v>6</v>
      </c>
      <c r="D161" t="s">
        <v>193</v>
      </c>
      <c r="E161">
        <v>47</v>
      </c>
      <c r="F161" t="s">
        <v>194</v>
      </c>
      <c r="G161" t="s">
        <v>187</v>
      </c>
      <c r="H161">
        <v>5</v>
      </c>
      <c r="J161">
        <v>-5501626.9865632057</v>
      </c>
      <c r="K161">
        <v>1.2E-2</v>
      </c>
      <c r="L161">
        <v>1</v>
      </c>
      <c r="N161">
        <v>1.2E-2</v>
      </c>
      <c r="O161">
        <v>-66019.523838758469</v>
      </c>
    </row>
    <row r="162" spans="1:15" x14ac:dyDescent="0.35">
      <c r="A162" t="s">
        <v>23</v>
      </c>
      <c r="B162" t="s">
        <v>158</v>
      </c>
      <c r="C162">
        <v>7</v>
      </c>
      <c r="D162" t="s">
        <v>195</v>
      </c>
      <c r="E162">
        <v>50</v>
      </c>
      <c r="F162" t="s">
        <v>196</v>
      </c>
      <c r="G162" t="s">
        <v>197</v>
      </c>
      <c r="H162">
        <v>0.5</v>
      </c>
      <c r="J162">
        <v>-4130147.2543925052</v>
      </c>
      <c r="K162">
        <v>1.2E-2</v>
      </c>
      <c r="L162">
        <v>1</v>
      </c>
      <c r="N162">
        <v>1.2E-2</v>
      </c>
      <c r="O162">
        <v>-49561.767052710064</v>
      </c>
    </row>
    <row r="163" spans="1:15" x14ac:dyDescent="0.35">
      <c r="A163" t="s">
        <v>23</v>
      </c>
      <c r="B163" t="s">
        <v>158</v>
      </c>
      <c r="C163">
        <v>7</v>
      </c>
      <c r="D163" t="s">
        <v>198</v>
      </c>
      <c r="E163">
        <v>50</v>
      </c>
      <c r="F163" t="s">
        <v>199</v>
      </c>
      <c r="G163" t="s">
        <v>197</v>
      </c>
      <c r="H163">
        <v>1</v>
      </c>
      <c r="J163">
        <v>-28554907.611384992</v>
      </c>
      <c r="K163">
        <v>1.2E-2</v>
      </c>
      <c r="L163">
        <v>1</v>
      </c>
      <c r="N163">
        <v>1.2E-2</v>
      </c>
      <c r="O163">
        <v>-342658.89133661991</v>
      </c>
    </row>
    <row r="164" spans="1:15" x14ac:dyDescent="0.35">
      <c r="A164" t="s">
        <v>23</v>
      </c>
      <c r="B164" t="s">
        <v>158</v>
      </c>
      <c r="C164">
        <v>7</v>
      </c>
      <c r="D164" t="s">
        <v>200</v>
      </c>
      <c r="E164">
        <v>50</v>
      </c>
      <c r="F164" t="s">
        <v>201</v>
      </c>
      <c r="G164" t="s">
        <v>197</v>
      </c>
      <c r="H164">
        <v>3</v>
      </c>
      <c r="J164">
        <v>-53451129.142269492</v>
      </c>
      <c r="K164">
        <v>1.2E-2</v>
      </c>
      <c r="L164">
        <v>1</v>
      </c>
      <c r="N164">
        <v>1.2E-2</v>
      </c>
      <c r="O164">
        <v>-641413.54970723391</v>
      </c>
    </row>
    <row r="165" spans="1:15" x14ac:dyDescent="0.35">
      <c r="A165" t="s">
        <v>23</v>
      </c>
      <c r="B165" t="s">
        <v>158</v>
      </c>
      <c r="C165">
        <v>7</v>
      </c>
      <c r="D165" t="s">
        <v>202</v>
      </c>
      <c r="E165">
        <v>50</v>
      </c>
      <c r="F165" t="s">
        <v>203</v>
      </c>
      <c r="G165" t="s">
        <v>197</v>
      </c>
      <c r="H165">
        <v>5</v>
      </c>
      <c r="J165">
        <v>-3015600.50547123</v>
      </c>
      <c r="K165">
        <v>1.2E-2</v>
      </c>
      <c r="L165">
        <v>1</v>
      </c>
      <c r="N165">
        <v>1.2E-2</v>
      </c>
      <c r="O165">
        <v>-36187.206065654762</v>
      </c>
    </row>
    <row r="166" spans="1:15" x14ac:dyDescent="0.35">
      <c r="A166" t="s">
        <v>23</v>
      </c>
      <c r="B166" t="s">
        <v>158</v>
      </c>
      <c r="C166">
        <v>8</v>
      </c>
      <c r="D166" t="s">
        <v>204</v>
      </c>
      <c r="E166">
        <v>43</v>
      </c>
      <c r="F166" t="s">
        <v>205</v>
      </c>
      <c r="G166" t="s">
        <v>206</v>
      </c>
      <c r="H166">
        <v>0.5</v>
      </c>
      <c r="J166">
        <v>-9007085.1281285286</v>
      </c>
      <c r="K166">
        <v>1.4E-2</v>
      </c>
      <c r="L166">
        <v>1</v>
      </c>
      <c r="N166">
        <v>1.4E-2</v>
      </c>
      <c r="O166">
        <v>-126099.1917937994</v>
      </c>
    </row>
    <row r="167" spans="1:15" x14ac:dyDescent="0.35">
      <c r="A167" t="s">
        <v>23</v>
      </c>
      <c r="B167" t="s">
        <v>158</v>
      </c>
      <c r="C167">
        <v>8</v>
      </c>
      <c r="D167" t="s">
        <v>207</v>
      </c>
      <c r="E167">
        <v>43</v>
      </c>
      <c r="F167" t="s">
        <v>208</v>
      </c>
      <c r="G167" t="s">
        <v>206</v>
      </c>
      <c r="H167">
        <v>1</v>
      </c>
      <c r="J167">
        <v>-61838026.805222027</v>
      </c>
      <c r="K167">
        <v>1.4E-2</v>
      </c>
      <c r="L167">
        <v>1</v>
      </c>
      <c r="N167">
        <v>1.4E-2</v>
      </c>
      <c r="O167">
        <v>-865732.37527310837</v>
      </c>
    </row>
    <row r="168" spans="1:15" x14ac:dyDescent="0.35">
      <c r="A168" t="s">
        <v>23</v>
      </c>
      <c r="B168" t="s">
        <v>158</v>
      </c>
      <c r="C168">
        <v>8</v>
      </c>
      <c r="D168" t="s">
        <v>209</v>
      </c>
      <c r="E168">
        <v>43</v>
      </c>
      <c r="F168" t="s">
        <v>210</v>
      </c>
      <c r="G168" t="s">
        <v>206</v>
      </c>
      <c r="H168">
        <v>3</v>
      </c>
      <c r="J168">
        <v>-173716648.9610076</v>
      </c>
      <c r="K168">
        <v>1.4E-2</v>
      </c>
      <c r="L168">
        <v>1</v>
      </c>
      <c r="N168">
        <v>1.4E-2</v>
      </c>
      <c r="O168">
        <v>-2432033.0854541059</v>
      </c>
    </row>
    <row r="169" spans="1:15" x14ac:dyDescent="0.35">
      <c r="A169" t="s">
        <v>23</v>
      </c>
      <c r="B169" t="s">
        <v>158</v>
      </c>
      <c r="C169">
        <v>8</v>
      </c>
      <c r="D169" t="s">
        <v>211</v>
      </c>
      <c r="E169">
        <v>43</v>
      </c>
      <c r="F169" t="s">
        <v>212</v>
      </c>
      <c r="G169" t="s">
        <v>206</v>
      </c>
      <c r="H169">
        <v>5</v>
      </c>
      <c r="J169">
        <v>-91689947.718381882</v>
      </c>
      <c r="K169">
        <v>1.4E-2</v>
      </c>
      <c r="L169">
        <v>1</v>
      </c>
      <c r="N169">
        <v>1.4E-2</v>
      </c>
      <c r="O169">
        <v>-1283659.2680573461</v>
      </c>
    </row>
    <row r="170" spans="1:15" x14ac:dyDescent="0.35">
      <c r="A170" t="s">
        <v>23</v>
      </c>
      <c r="B170" t="s">
        <v>158</v>
      </c>
      <c r="C170">
        <v>9</v>
      </c>
      <c r="D170" t="s">
        <v>213</v>
      </c>
      <c r="E170">
        <v>38</v>
      </c>
      <c r="F170" t="s">
        <v>214</v>
      </c>
      <c r="G170" t="s">
        <v>215</v>
      </c>
      <c r="H170">
        <v>0.5</v>
      </c>
      <c r="J170">
        <v>-327722.5342579186</v>
      </c>
      <c r="K170">
        <v>1.125E-2</v>
      </c>
      <c r="L170">
        <v>1</v>
      </c>
      <c r="N170">
        <v>1.125E-2</v>
      </c>
      <c r="O170">
        <v>-3686.8785104015842</v>
      </c>
    </row>
    <row r="171" spans="1:15" x14ac:dyDescent="0.35">
      <c r="A171" t="s">
        <v>23</v>
      </c>
      <c r="B171" t="s">
        <v>158</v>
      </c>
      <c r="C171">
        <v>9</v>
      </c>
      <c r="D171" t="s">
        <v>216</v>
      </c>
      <c r="E171">
        <v>39</v>
      </c>
      <c r="F171" t="s">
        <v>214</v>
      </c>
      <c r="G171" t="s">
        <v>217</v>
      </c>
      <c r="H171">
        <v>0.5</v>
      </c>
      <c r="J171">
        <v>109240.8447572961</v>
      </c>
      <c r="K171">
        <v>1.125E-2</v>
      </c>
      <c r="L171">
        <v>1</v>
      </c>
      <c r="N171">
        <v>1.125E-2</v>
      </c>
      <c r="O171">
        <v>1228.9595035195809</v>
      </c>
    </row>
    <row r="172" spans="1:15" x14ac:dyDescent="0.35">
      <c r="A172" t="s">
        <v>23</v>
      </c>
      <c r="B172" t="s">
        <v>158</v>
      </c>
      <c r="C172">
        <v>9</v>
      </c>
      <c r="D172" t="s">
        <v>218</v>
      </c>
      <c r="E172">
        <v>38</v>
      </c>
      <c r="F172" t="s">
        <v>219</v>
      </c>
      <c r="G172" t="s">
        <v>215</v>
      </c>
      <c r="H172">
        <v>1</v>
      </c>
      <c r="J172">
        <v>-3212849.0304388111</v>
      </c>
      <c r="K172">
        <v>1.125E-2</v>
      </c>
      <c r="L172">
        <v>1</v>
      </c>
      <c r="N172">
        <v>1.125E-2</v>
      </c>
      <c r="O172">
        <v>-36144.551592436626</v>
      </c>
    </row>
    <row r="173" spans="1:15" x14ac:dyDescent="0.35">
      <c r="A173" t="s">
        <v>23</v>
      </c>
      <c r="B173" t="s">
        <v>158</v>
      </c>
      <c r="C173">
        <v>9</v>
      </c>
      <c r="D173" t="s">
        <v>220</v>
      </c>
      <c r="E173">
        <v>39</v>
      </c>
      <c r="F173" t="s">
        <v>219</v>
      </c>
      <c r="G173" t="s">
        <v>217</v>
      </c>
      <c r="H173">
        <v>1</v>
      </c>
      <c r="J173">
        <v>1070949.6768144891</v>
      </c>
      <c r="K173">
        <v>1.125E-2</v>
      </c>
      <c r="L173">
        <v>1</v>
      </c>
      <c r="N173">
        <v>1.125E-2</v>
      </c>
      <c r="O173">
        <v>12048.183864163</v>
      </c>
    </row>
    <row r="174" spans="1:15" x14ac:dyDescent="0.35">
      <c r="A174" t="s">
        <v>23</v>
      </c>
      <c r="B174" t="s">
        <v>158</v>
      </c>
      <c r="C174">
        <v>9</v>
      </c>
      <c r="D174" t="s">
        <v>221</v>
      </c>
      <c r="E174">
        <v>38</v>
      </c>
      <c r="F174" t="s">
        <v>222</v>
      </c>
      <c r="G174" t="s">
        <v>215</v>
      </c>
      <c r="H174">
        <v>3</v>
      </c>
      <c r="J174">
        <v>-23111153.029426929</v>
      </c>
      <c r="K174">
        <v>1.125E-2</v>
      </c>
      <c r="L174">
        <v>1</v>
      </c>
      <c r="N174">
        <v>1.125E-2</v>
      </c>
      <c r="O174">
        <v>-260000.4715810529</v>
      </c>
    </row>
    <row r="175" spans="1:15" x14ac:dyDescent="0.35">
      <c r="A175" t="s">
        <v>23</v>
      </c>
      <c r="B175" t="s">
        <v>158</v>
      </c>
      <c r="C175">
        <v>9</v>
      </c>
      <c r="D175" t="s">
        <v>223</v>
      </c>
      <c r="E175">
        <v>39</v>
      </c>
      <c r="F175" t="s">
        <v>222</v>
      </c>
      <c r="G175" t="s">
        <v>217</v>
      </c>
      <c r="H175">
        <v>3</v>
      </c>
      <c r="J175">
        <v>7703717.6764756441</v>
      </c>
      <c r="K175">
        <v>1.125E-2</v>
      </c>
      <c r="L175">
        <v>1</v>
      </c>
      <c r="N175">
        <v>1.125E-2</v>
      </c>
      <c r="O175">
        <v>86666.823860350996</v>
      </c>
    </row>
    <row r="176" spans="1:15" x14ac:dyDescent="0.35">
      <c r="A176" t="s">
        <v>23</v>
      </c>
      <c r="B176" t="s">
        <v>158</v>
      </c>
      <c r="C176">
        <v>12</v>
      </c>
      <c r="D176" t="s">
        <v>224</v>
      </c>
      <c r="E176">
        <v>42</v>
      </c>
      <c r="F176" t="s">
        <v>225</v>
      </c>
      <c r="G176" t="s">
        <v>226</v>
      </c>
      <c r="H176">
        <v>0.5</v>
      </c>
      <c r="J176">
        <v>-141705.40252700451</v>
      </c>
      <c r="K176">
        <v>2.5000000000000001E-2</v>
      </c>
      <c r="L176">
        <v>1</v>
      </c>
      <c r="N176">
        <v>2.5000000000000001E-2</v>
      </c>
      <c r="O176">
        <v>-3542.6350631751129</v>
      </c>
    </row>
    <row r="177" spans="1:15" x14ac:dyDescent="0.35">
      <c r="A177" t="s">
        <v>23</v>
      </c>
      <c r="B177" t="s">
        <v>158</v>
      </c>
      <c r="C177">
        <v>12</v>
      </c>
      <c r="D177" t="s">
        <v>227</v>
      </c>
      <c r="E177">
        <v>42</v>
      </c>
      <c r="F177" t="s">
        <v>228</v>
      </c>
      <c r="G177" t="s">
        <v>226</v>
      </c>
      <c r="H177">
        <v>1</v>
      </c>
      <c r="J177">
        <v>-981367.14357882738</v>
      </c>
      <c r="K177">
        <v>2.5000000000000001E-2</v>
      </c>
      <c r="L177">
        <v>1</v>
      </c>
      <c r="N177">
        <v>2.5000000000000001E-2</v>
      </c>
      <c r="O177">
        <v>-24534.178589470681</v>
      </c>
    </row>
    <row r="178" spans="1:15" x14ac:dyDescent="0.35">
      <c r="A178" t="s">
        <v>23</v>
      </c>
      <c r="B178" t="s">
        <v>158</v>
      </c>
      <c r="C178">
        <v>12</v>
      </c>
      <c r="D178" t="s">
        <v>229</v>
      </c>
      <c r="E178">
        <v>42</v>
      </c>
      <c r="F178" t="s">
        <v>230</v>
      </c>
      <c r="G178" t="s">
        <v>226</v>
      </c>
      <c r="H178">
        <v>3</v>
      </c>
      <c r="J178">
        <v>-2807073.6425928771</v>
      </c>
      <c r="K178">
        <v>2.5000000000000001E-2</v>
      </c>
      <c r="L178">
        <v>1</v>
      </c>
      <c r="N178">
        <v>2.5000000000000001E-2</v>
      </c>
      <c r="O178">
        <v>-70176.841064821929</v>
      </c>
    </row>
    <row r="179" spans="1:15" x14ac:dyDescent="0.35">
      <c r="A179" t="s">
        <v>23</v>
      </c>
      <c r="B179" t="s">
        <v>158</v>
      </c>
      <c r="C179">
        <v>12</v>
      </c>
      <c r="D179" t="s">
        <v>231</v>
      </c>
      <c r="E179">
        <v>42</v>
      </c>
      <c r="F179" t="s">
        <v>232</v>
      </c>
      <c r="G179" t="s">
        <v>226</v>
      </c>
      <c r="H179">
        <v>5</v>
      </c>
      <c r="J179">
        <v>-27587439.554985609</v>
      </c>
      <c r="K179">
        <v>2.5000000000000001E-2</v>
      </c>
      <c r="L179">
        <v>1</v>
      </c>
      <c r="N179">
        <v>2.5000000000000001E-2</v>
      </c>
      <c r="O179">
        <v>-689685.98887464032</v>
      </c>
    </row>
    <row r="180" spans="1:15" x14ac:dyDescent="0.35">
      <c r="A180" t="s">
        <v>23</v>
      </c>
      <c r="B180" t="s">
        <v>158</v>
      </c>
      <c r="C180">
        <v>12</v>
      </c>
      <c r="D180" t="s">
        <v>233</v>
      </c>
      <c r="E180">
        <v>42</v>
      </c>
      <c r="F180" t="s">
        <v>234</v>
      </c>
      <c r="G180" t="s">
        <v>226</v>
      </c>
      <c r="H180">
        <v>10</v>
      </c>
      <c r="J180">
        <v>-46515278.08142826</v>
      </c>
      <c r="K180">
        <v>2.5000000000000001E-2</v>
      </c>
      <c r="L180">
        <v>1</v>
      </c>
      <c r="N180">
        <v>2.5000000000000001E-2</v>
      </c>
      <c r="O180">
        <v>-1162881.952035706</v>
      </c>
    </row>
    <row r="181" spans="1:15" x14ac:dyDescent="0.35">
      <c r="A181" t="s">
        <v>23</v>
      </c>
      <c r="B181" t="s">
        <v>158</v>
      </c>
      <c r="C181">
        <v>14</v>
      </c>
      <c r="D181" t="s">
        <v>235</v>
      </c>
      <c r="E181">
        <v>48</v>
      </c>
      <c r="F181" t="s">
        <v>236</v>
      </c>
      <c r="G181" t="s">
        <v>237</v>
      </c>
      <c r="H181">
        <v>0.5</v>
      </c>
      <c r="J181">
        <v>-191373.7157732248</v>
      </c>
      <c r="K181">
        <v>1.4999999999999999E-2</v>
      </c>
      <c r="L181">
        <v>1</v>
      </c>
      <c r="N181">
        <v>1.4999999999999999E-2</v>
      </c>
      <c r="O181">
        <v>-2870.605736598372</v>
      </c>
    </row>
    <row r="182" spans="1:15" x14ac:dyDescent="0.35">
      <c r="A182" t="s">
        <v>23</v>
      </c>
      <c r="B182" t="s">
        <v>158</v>
      </c>
      <c r="C182">
        <v>14</v>
      </c>
      <c r="D182" t="s">
        <v>238</v>
      </c>
      <c r="E182">
        <v>49</v>
      </c>
      <c r="F182" t="s">
        <v>236</v>
      </c>
      <c r="G182" t="s">
        <v>239</v>
      </c>
      <c r="H182">
        <v>0.5</v>
      </c>
      <c r="J182">
        <v>-104459.0344838798</v>
      </c>
      <c r="K182">
        <v>1.4999999999999999E-2</v>
      </c>
      <c r="L182">
        <v>1</v>
      </c>
      <c r="N182">
        <v>1.4999999999999999E-2</v>
      </c>
      <c r="O182">
        <v>-1566.8855172581971</v>
      </c>
    </row>
    <row r="183" spans="1:15" x14ac:dyDescent="0.35">
      <c r="A183" t="s">
        <v>23</v>
      </c>
      <c r="B183" t="s">
        <v>158</v>
      </c>
      <c r="C183">
        <v>14</v>
      </c>
      <c r="D183" t="s">
        <v>240</v>
      </c>
      <c r="E183">
        <v>48</v>
      </c>
      <c r="F183" t="s">
        <v>241</v>
      </c>
      <c r="G183" t="s">
        <v>237</v>
      </c>
      <c r="H183">
        <v>1</v>
      </c>
      <c r="J183">
        <v>-7838103.8650870323</v>
      </c>
      <c r="K183">
        <v>1.4999999999999999E-2</v>
      </c>
      <c r="L183">
        <v>1</v>
      </c>
      <c r="N183">
        <v>1.4999999999999999E-2</v>
      </c>
      <c r="O183">
        <v>-117571.5579763055</v>
      </c>
    </row>
    <row r="184" spans="1:15" x14ac:dyDescent="0.35">
      <c r="A184" t="s">
        <v>23</v>
      </c>
      <c r="B184" t="s">
        <v>158</v>
      </c>
      <c r="C184">
        <v>14</v>
      </c>
      <c r="D184" t="s">
        <v>242</v>
      </c>
      <c r="E184">
        <v>49</v>
      </c>
      <c r="F184" t="s">
        <v>241</v>
      </c>
      <c r="G184" t="s">
        <v>239</v>
      </c>
      <c r="H184">
        <v>1</v>
      </c>
      <c r="J184">
        <v>-4167003.845237195</v>
      </c>
      <c r="K184">
        <v>1.4999999999999999E-2</v>
      </c>
      <c r="L184">
        <v>1</v>
      </c>
      <c r="N184">
        <v>1.4999999999999999E-2</v>
      </c>
      <c r="O184">
        <v>-62505.057678557932</v>
      </c>
    </row>
    <row r="185" spans="1:15" x14ac:dyDescent="0.35">
      <c r="A185" t="s">
        <v>23</v>
      </c>
      <c r="B185" t="s">
        <v>158</v>
      </c>
      <c r="C185">
        <v>14</v>
      </c>
      <c r="D185" t="s">
        <v>243</v>
      </c>
      <c r="E185">
        <v>48</v>
      </c>
      <c r="F185" t="s">
        <v>244</v>
      </c>
      <c r="G185" t="s">
        <v>237</v>
      </c>
      <c r="H185">
        <v>3</v>
      </c>
      <c r="J185">
        <v>-42285801.745466888</v>
      </c>
      <c r="K185">
        <v>1.4999999999999999E-2</v>
      </c>
      <c r="L185">
        <v>1</v>
      </c>
      <c r="N185">
        <v>1.4999999999999999E-2</v>
      </c>
      <c r="O185">
        <v>-634287.02618200332</v>
      </c>
    </row>
    <row r="186" spans="1:15" x14ac:dyDescent="0.35">
      <c r="A186" t="s">
        <v>23</v>
      </c>
      <c r="B186" t="s">
        <v>158</v>
      </c>
      <c r="C186">
        <v>14</v>
      </c>
      <c r="D186" t="s">
        <v>245</v>
      </c>
      <c r="E186">
        <v>49</v>
      </c>
      <c r="F186" t="s">
        <v>244</v>
      </c>
      <c r="G186" t="s">
        <v>239</v>
      </c>
      <c r="H186">
        <v>3</v>
      </c>
      <c r="J186">
        <v>-22334908.399339769</v>
      </c>
      <c r="K186">
        <v>1.4999999999999999E-2</v>
      </c>
      <c r="L186">
        <v>1</v>
      </c>
      <c r="N186">
        <v>1.4999999999999999E-2</v>
      </c>
      <c r="O186">
        <v>-335023.62599009648</v>
      </c>
    </row>
    <row r="187" spans="1:15" x14ac:dyDescent="0.35">
      <c r="A187" t="s">
        <v>23</v>
      </c>
      <c r="B187" t="s">
        <v>158</v>
      </c>
      <c r="C187">
        <v>14</v>
      </c>
      <c r="D187" t="s">
        <v>246</v>
      </c>
      <c r="E187">
        <v>48</v>
      </c>
      <c r="F187" t="s">
        <v>247</v>
      </c>
      <c r="G187" t="s">
        <v>237</v>
      </c>
      <c r="H187">
        <v>5</v>
      </c>
      <c r="J187">
        <v>-724563.47391009331</v>
      </c>
      <c r="K187">
        <v>1.4999999999999999E-2</v>
      </c>
      <c r="L187">
        <v>1</v>
      </c>
      <c r="N187">
        <v>1.4999999999999999E-2</v>
      </c>
      <c r="O187">
        <v>-10868.4521086514</v>
      </c>
    </row>
    <row r="188" spans="1:15" x14ac:dyDescent="0.35">
      <c r="A188" t="s">
        <v>23</v>
      </c>
      <c r="B188" t="s">
        <v>158</v>
      </c>
      <c r="C188">
        <v>14</v>
      </c>
      <c r="D188" t="s">
        <v>248</v>
      </c>
      <c r="E188">
        <v>49</v>
      </c>
      <c r="F188" t="s">
        <v>247</v>
      </c>
      <c r="G188" t="s">
        <v>239</v>
      </c>
      <c r="H188">
        <v>5</v>
      </c>
      <c r="J188">
        <v>-380668.86870190501</v>
      </c>
      <c r="K188">
        <v>1.4999999999999999E-2</v>
      </c>
      <c r="L188">
        <v>1</v>
      </c>
      <c r="N188">
        <v>1.4999999999999999E-2</v>
      </c>
      <c r="O188">
        <v>-5710.0330305285752</v>
      </c>
    </row>
    <row r="189" spans="1:15" x14ac:dyDescent="0.35">
      <c r="A189" t="s">
        <v>23</v>
      </c>
      <c r="B189" t="s">
        <v>158</v>
      </c>
      <c r="C189">
        <v>15</v>
      </c>
      <c r="D189" t="s">
        <v>249</v>
      </c>
      <c r="E189">
        <v>51</v>
      </c>
      <c r="F189" t="s">
        <v>250</v>
      </c>
      <c r="G189" t="s">
        <v>251</v>
      </c>
      <c r="H189">
        <v>0.5</v>
      </c>
      <c r="J189">
        <v>616573.80552962422</v>
      </c>
      <c r="K189">
        <v>1.4999999999999999E-2</v>
      </c>
      <c r="L189">
        <v>1</v>
      </c>
      <c r="N189">
        <v>1.4999999999999999E-2</v>
      </c>
      <c r="O189">
        <v>9248.6070829443634</v>
      </c>
    </row>
    <row r="190" spans="1:15" x14ac:dyDescent="0.35">
      <c r="A190" t="s">
        <v>23</v>
      </c>
      <c r="B190" t="s">
        <v>158</v>
      </c>
      <c r="C190">
        <v>15</v>
      </c>
      <c r="D190" t="s">
        <v>252</v>
      </c>
      <c r="E190">
        <v>51</v>
      </c>
      <c r="F190" t="s">
        <v>253</v>
      </c>
      <c r="G190" t="s">
        <v>251</v>
      </c>
      <c r="H190">
        <v>1</v>
      </c>
      <c r="J190">
        <v>4220636.1947953701</v>
      </c>
      <c r="K190">
        <v>1.4999999999999999E-2</v>
      </c>
      <c r="L190">
        <v>1</v>
      </c>
      <c r="N190">
        <v>1.4999999999999999E-2</v>
      </c>
      <c r="O190">
        <v>63309.542921930552</v>
      </c>
    </row>
    <row r="191" spans="1:15" x14ac:dyDescent="0.35">
      <c r="A191" t="s">
        <v>23</v>
      </c>
      <c r="B191" t="s">
        <v>158</v>
      </c>
      <c r="C191">
        <v>15</v>
      </c>
      <c r="D191" t="s">
        <v>254</v>
      </c>
      <c r="E191">
        <v>51</v>
      </c>
      <c r="F191" t="s">
        <v>255</v>
      </c>
      <c r="G191" t="s">
        <v>251</v>
      </c>
      <c r="H191">
        <v>3</v>
      </c>
      <c r="J191">
        <v>7819842.8004048755</v>
      </c>
      <c r="K191">
        <v>1.4999999999999999E-2</v>
      </c>
      <c r="L191">
        <v>1</v>
      </c>
      <c r="N191">
        <v>1.4999999999999999E-2</v>
      </c>
      <c r="O191">
        <v>117297.6420060731</v>
      </c>
    </row>
    <row r="192" spans="1:15" x14ac:dyDescent="0.35">
      <c r="A192" t="s">
        <v>23</v>
      </c>
      <c r="B192" t="s">
        <v>158</v>
      </c>
      <c r="C192">
        <v>15</v>
      </c>
      <c r="D192" t="s">
        <v>256</v>
      </c>
      <c r="E192">
        <v>51</v>
      </c>
      <c r="F192" t="s">
        <v>257</v>
      </c>
      <c r="G192" t="s">
        <v>251</v>
      </c>
      <c r="H192">
        <v>5</v>
      </c>
      <c r="J192">
        <v>438442.24316067988</v>
      </c>
      <c r="K192">
        <v>1.4999999999999999E-2</v>
      </c>
      <c r="L192">
        <v>1</v>
      </c>
      <c r="N192">
        <v>1.4999999999999999E-2</v>
      </c>
      <c r="O192">
        <v>6576.6336474101981</v>
      </c>
    </row>
    <row r="193" spans="1:15" x14ac:dyDescent="0.35">
      <c r="A193" t="s">
        <v>23</v>
      </c>
      <c r="B193" t="s">
        <v>158</v>
      </c>
      <c r="C193">
        <v>16</v>
      </c>
      <c r="D193" t="s">
        <v>258</v>
      </c>
      <c r="E193">
        <v>44</v>
      </c>
      <c r="F193" t="s">
        <v>259</v>
      </c>
      <c r="G193" t="s">
        <v>260</v>
      </c>
      <c r="H193">
        <v>0.5</v>
      </c>
      <c r="J193">
        <v>-426343.50888431072</v>
      </c>
      <c r="K193">
        <v>1.7500000000000002E-2</v>
      </c>
      <c r="L193">
        <v>1</v>
      </c>
      <c r="N193">
        <v>1.7500000000000002E-2</v>
      </c>
      <c r="O193">
        <v>-7461.0114054754386</v>
      </c>
    </row>
    <row r="194" spans="1:15" x14ac:dyDescent="0.35">
      <c r="A194" t="s">
        <v>23</v>
      </c>
      <c r="B194" t="s">
        <v>158</v>
      </c>
      <c r="C194">
        <v>16</v>
      </c>
      <c r="D194" t="s">
        <v>261</v>
      </c>
      <c r="E194">
        <v>45</v>
      </c>
      <c r="F194" t="s">
        <v>259</v>
      </c>
      <c r="G194" t="s">
        <v>262</v>
      </c>
      <c r="H194">
        <v>0.5</v>
      </c>
      <c r="J194">
        <v>-189486.00396513939</v>
      </c>
      <c r="K194">
        <v>1.7500000000000002E-2</v>
      </c>
      <c r="L194">
        <v>1</v>
      </c>
      <c r="N194">
        <v>1.7500000000000002E-2</v>
      </c>
      <c r="O194">
        <v>-3316.0050693899402</v>
      </c>
    </row>
    <row r="195" spans="1:15" x14ac:dyDescent="0.35">
      <c r="A195" t="s">
        <v>23</v>
      </c>
      <c r="B195" t="s">
        <v>158</v>
      </c>
      <c r="C195">
        <v>16</v>
      </c>
      <c r="D195" t="s">
        <v>263</v>
      </c>
      <c r="E195">
        <v>44</v>
      </c>
      <c r="F195" t="s">
        <v>264</v>
      </c>
      <c r="G195" t="s">
        <v>260</v>
      </c>
      <c r="H195">
        <v>1</v>
      </c>
      <c r="J195">
        <v>-5100884.1170370579</v>
      </c>
      <c r="K195">
        <v>1.7500000000000002E-2</v>
      </c>
      <c r="L195">
        <v>1</v>
      </c>
      <c r="N195">
        <v>1.7500000000000002E-2</v>
      </c>
      <c r="O195">
        <v>-89265.472048148527</v>
      </c>
    </row>
    <row r="196" spans="1:15" x14ac:dyDescent="0.35">
      <c r="A196" t="s">
        <v>23</v>
      </c>
      <c r="B196" t="s">
        <v>158</v>
      </c>
      <c r="C196">
        <v>16</v>
      </c>
      <c r="D196" t="s">
        <v>265</v>
      </c>
      <c r="E196">
        <v>45</v>
      </c>
      <c r="F196" t="s">
        <v>264</v>
      </c>
      <c r="G196" t="s">
        <v>262</v>
      </c>
      <c r="H196">
        <v>1</v>
      </c>
      <c r="J196">
        <v>-2267059.6075803041</v>
      </c>
      <c r="K196">
        <v>1.7500000000000002E-2</v>
      </c>
      <c r="L196">
        <v>1</v>
      </c>
      <c r="N196">
        <v>1.7500000000000002E-2</v>
      </c>
      <c r="O196">
        <v>-39673.54313265533</v>
      </c>
    </row>
    <row r="197" spans="1:15" x14ac:dyDescent="0.35">
      <c r="A197" t="s">
        <v>23</v>
      </c>
      <c r="B197" t="s">
        <v>158</v>
      </c>
      <c r="C197">
        <v>16</v>
      </c>
      <c r="D197" t="s">
        <v>266</v>
      </c>
      <c r="E197">
        <v>44</v>
      </c>
      <c r="F197" t="s">
        <v>267</v>
      </c>
      <c r="G197" t="s">
        <v>260</v>
      </c>
      <c r="H197">
        <v>3</v>
      </c>
      <c r="J197">
        <v>-83652175.076082349</v>
      </c>
      <c r="K197">
        <v>1.7500000000000002E-2</v>
      </c>
      <c r="L197">
        <v>1</v>
      </c>
      <c r="N197">
        <v>1.7500000000000002E-2</v>
      </c>
      <c r="O197">
        <v>-1463913.0638314411</v>
      </c>
    </row>
    <row r="198" spans="1:15" x14ac:dyDescent="0.35">
      <c r="A198" t="s">
        <v>23</v>
      </c>
      <c r="B198" t="s">
        <v>158</v>
      </c>
      <c r="C198">
        <v>16</v>
      </c>
      <c r="D198" t="s">
        <v>268</v>
      </c>
      <c r="E198">
        <v>45</v>
      </c>
      <c r="F198" t="s">
        <v>267</v>
      </c>
      <c r="G198" t="s">
        <v>262</v>
      </c>
      <c r="H198">
        <v>3</v>
      </c>
      <c r="J198">
        <v>-37178744.478300206</v>
      </c>
      <c r="K198">
        <v>1.7500000000000002E-2</v>
      </c>
      <c r="L198">
        <v>1</v>
      </c>
      <c r="N198">
        <v>1.7500000000000002E-2</v>
      </c>
      <c r="O198">
        <v>-650628.02837025363</v>
      </c>
    </row>
    <row r="199" spans="1:15" x14ac:dyDescent="0.35">
      <c r="A199" t="s">
        <v>23</v>
      </c>
      <c r="B199" t="s">
        <v>158</v>
      </c>
      <c r="C199">
        <v>16</v>
      </c>
      <c r="D199" t="s">
        <v>269</v>
      </c>
      <c r="E199">
        <v>44</v>
      </c>
      <c r="F199" t="s">
        <v>270</v>
      </c>
      <c r="G199" t="s">
        <v>260</v>
      </c>
      <c r="H199">
        <v>5</v>
      </c>
      <c r="J199">
        <v>-55745407.37092495</v>
      </c>
      <c r="K199">
        <v>1.7500000000000002E-2</v>
      </c>
      <c r="L199">
        <v>1</v>
      </c>
      <c r="N199">
        <v>1.7500000000000002E-2</v>
      </c>
      <c r="O199">
        <v>-975544.62899118674</v>
      </c>
    </row>
    <row r="200" spans="1:15" x14ac:dyDescent="0.35">
      <c r="A200" t="s">
        <v>23</v>
      </c>
      <c r="B200" t="s">
        <v>158</v>
      </c>
      <c r="C200">
        <v>16</v>
      </c>
      <c r="D200" t="s">
        <v>271</v>
      </c>
      <c r="E200">
        <v>45</v>
      </c>
      <c r="F200" t="s">
        <v>270</v>
      </c>
      <c r="G200" t="s">
        <v>262</v>
      </c>
      <c r="H200">
        <v>5</v>
      </c>
      <c r="J200">
        <v>-24775736.60936207</v>
      </c>
      <c r="K200">
        <v>1.7500000000000002E-2</v>
      </c>
      <c r="L200">
        <v>1</v>
      </c>
      <c r="N200">
        <v>1.7500000000000002E-2</v>
      </c>
      <c r="O200">
        <v>-433575.39066383633</v>
      </c>
    </row>
    <row r="201" spans="1:15" hidden="1" x14ac:dyDescent="0.35">
      <c r="A201" t="s">
        <v>23</v>
      </c>
      <c r="B201" t="s">
        <v>272</v>
      </c>
      <c r="C201">
        <v>5</v>
      </c>
      <c r="D201" t="s">
        <v>273</v>
      </c>
      <c r="E201">
        <v>27</v>
      </c>
      <c r="F201" t="s">
        <v>273</v>
      </c>
      <c r="G201" t="s">
        <v>274</v>
      </c>
      <c r="J201">
        <v>2580754.41</v>
      </c>
      <c r="K201">
        <v>0.3</v>
      </c>
      <c r="L201">
        <v>1</v>
      </c>
      <c r="N201">
        <v>0.3</v>
      </c>
      <c r="O201">
        <v>774226.32299999997</v>
      </c>
    </row>
    <row r="202" spans="1:15" hidden="1" x14ac:dyDescent="0.35">
      <c r="A202" t="s">
        <v>23</v>
      </c>
      <c r="B202" t="s">
        <v>272</v>
      </c>
      <c r="C202">
        <v>7</v>
      </c>
      <c r="D202" t="s">
        <v>275</v>
      </c>
      <c r="E202">
        <v>31</v>
      </c>
      <c r="F202" t="s">
        <v>275</v>
      </c>
      <c r="G202" t="s">
        <v>276</v>
      </c>
      <c r="J202">
        <v>567812.96</v>
      </c>
      <c r="K202">
        <v>0.4</v>
      </c>
      <c r="L202">
        <v>1</v>
      </c>
      <c r="N202">
        <v>0.4</v>
      </c>
      <c r="O202">
        <v>227125.18400000001</v>
      </c>
    </row>
    <row r="203" spans="1:15" hidden="1" x14ac:dyDescent="0.35">
      <c r="A203" t="s">
        <v>23</v>
      </c>
      <c r="B203" t="s">
        <v>272</v>
      </c>
      <c r="C203">
        <v>8</v>
      </c>
      <c r="D203" t="s">
        <v>277</v>
      </c>
      <c r="E203">
        <v>24</v>
      </c>
      <c r="F203" t="s">
        <v>277</v>
      </c>
      <c r="G203" t="s">
        <v>278</v>
      </c>
      <c r="J203">
        <v>3696642.18</v>
      </c>
      <c r="K203">
        <v>0.5</v>
      </c>
      <c r="L203">
        <v>1</v>
      </c>
      <c r="N203">
        <v>0.5</v>
      </c>
      <c r="O203">
        <v>1848321.09</v>
      </c>
    </row>
    <row r="204" spans="1:15" hidden="1" x14ac:dyDescent="0.35">
      <c r="A204" t="s">
        <v>23</v>
      </c>
      <c r="B204" t="s">
        <v>272</v>
      </c>
      <c r="C204">
        <v>8</v>
      </c>
      <c r="D204" t="s">
        <v>279</v>
      </c>
      <c r="E204">
        <v>30</v>
      </c>
      <c r="F204" t="s">
        <v>279</v>
      </c>
      <c r="G204" t="s">
        <v>280</v>
      </c>
      <c r="J204">
        <v>656064.78</v>
      </c>
      <c r="K204">
        <v>0.5</v>
      </c>
      <c r="L204">
        <v>1</v>
      </c>
      <c r="N204">
        <v>0.5</v>
      </c>
      <c r="O204">
        <v>328032.39</v>
      </c>
    </row>
    <row r="205" spans="1:15" hidden="1" x14ac:dyDescent="0.35">
      <c r="A205" t="s">
        <v>23</v>
      </c>
      <c r="B205" t="s">
        <v>272</v>
      </c>
      <c r="C205">
        <v>8</v>
      </c>
      <c r="D205" t="s">
        <v>281</v>
      </c>
      <c r="E205">
        <v>32</v>
      </c>
      <c r="F205" t="s">
        <v>281</v>
      </c>
      <c r="G205" t="s">
        <v>282</v>
      </c>
      <c r="J205">
        <v>522491.32</v>
      </c>
      <c r="K205">
        <v>0.5</v>
      </c>
      <c r="L205">
        <v>1</v>
      </c>
      <c r="N205">
        <v>0.5</v>
      </c>
      <c r="O205">
        <v>261245.66</v>
      </c>
    </row>
    <row r="206" spans="1:15" hidden="1" x14ac:dyDescent="0.35">
      <c r="A206" t="s">
        <v>23</v>
      </c>
      <c r="B206" t="s">
        <v>272</v>
      </c>
      <c r="C206">
        <v>8</v>
      </c>
      <c r="D206" t="s">
        <v>283</v>
      </c>
      <c r="E206">
        <v>25</v>
      </c>
      <c r="F206" t="s">
        <v>283</v>
      </c>
      <c r="G206" t="s">
        <v>284</v>
      </c>
      <c r="J206">
        <v>3601681.25</v>
      </c>
      <c r="K206">
        <v>0.5</v>
      </c>
      <c r="L206">
        <v>1</v>
      </c>
      <c r="N206">
        <v>0.5</v>
      </c>
      <c r="O206">
        <v>1800840.625</v>
      </c>
    </row>
    <row r="207" spans="1:15" hidden="1" x14ac:dyDescent="0.35">
      <c r="A207" t="s">
        <v>23</v>
      </c>
      <c r="B207" t="s">
        <v>272</v>
      </c>
      <c r="C207">
        <v>8</v>
      </c>
      <c r="D207" t="s">
        <v>285</v>
      </c>
      <c r="E207">
        <v>29</v>
      </c>
      <c r="F207" t="s">
        <v>285</v>
      </c>
      <c r="G207" t="s">
        <v>286</v>
      </c>
      <c r="J207">
        <v>1128362.08</v>
      </c>
      <c r="K207">
        <v>0.5</v>
      </c>
      <c r="L207">
        <v>1</v>
      </c>
      <c r="N207">
        <v>0.5</v>
      </c>
      <c r="O207">
        <v>564181.04</v>
      </c>
    </row>
    <row r="208" spans="1:15" hidden="1" x14ac:dyDescent="0.35">
      <c r="A208" t="s">
        <v>23</v>
      </c>
      <c r="B208" t="s">
        <v>272</v>
      </c>
      <c r="C208">
        <v>8</v>
      </c>
      <c r="D208" t="s">
        <v>287</v>
      </c>
      <c r="E208">
        <v>28</v>
      </c>
      <c r="F208" t="s">
        <v>287</v>
      </c>
      <c r="G208" t="s">
        <v>288</v>
      </c>
      <c r="J208">
        <v>1993874.75</v>
      </c>
      <c r="K208">
        <v>0.5</v>
      </c>
      <c r="L208">
        <v>1</v>
      </c>
      <c r="N208">
        <v>0.5</v>
      </c>
      <c r="O208">
        <v>996937.375</v>
      </c>
    </row>
    <row r="209" spans="1:15" hidden="1" x14ac:dyDescent="0.35">
      <c r="A209" t="s">
        <v>23</v>
      </c>
      <c r="B209" t="s">
        <v>272</v>
      </c>
      <c r="C209">
        <v>8</v>
      </c>
      <c r="D209" t="s">
        <v>289</v>
      </c>
      <c r="E209">
        <v>26</v>
      </c>
      <c r="F209" t="s">
        <v>289</v>
      </c>
      <c r="G209" t="s">
        <v>290</v>
      </c>
      <c r="J209">
        <v>3599718.48</v>
      </c>
      <c r="K209">
        <v>0.5</v>
      </c>
      <c r="L209">
        <v>1</v>
      </c>
      <c r="N209">
        <v>0.5</v>
      </c>
      <c r="O209">
        <v>1799859.24</v>
      </c>
    </row>
    <row r="210" spans="1:15" hidden="1" x14ac:dyDescent="0.35">
      <c r="A210" t="s">
        <v>23</v>
      </c>
      <c r="B210" t="s">
        <v>272</v>
      </c>
      <c r="C210">
        <v>8</v>
      </c>
      <c r="D210" t="s">
        <v>291</v>
      </c>
      <c r="E210">
        <v>23</v>
      </c>
      <c r="F210" t="s">
        <v>291</v>
      </c>
      <c r="G210" t="s">
        <v>292</v>
      </c>
      <c r="J210">
        <v>4902017.5999999996</v>
      </c>
      <c r="K210">
        <v>0.5</v>
      </c>
      <c r="L210">
        <v>1</v>
      </c>
      <c r="N210">
        <v>0.5</v>
      </c>
      <c r="O210">
        <v>2451008.7999999998</v>
      </c>
    </row>
    <row r="211" spans="1:15" hidden="1" x14ac:dyDescent="0.35">
      <c r="A211" t="s">
        <v>23</v>
      </c>
      <c r="B211" t="s">
        <v>272</v>
      </c>
      <c r="C211">
        <v>12</v>
      </c>
      <c r="D211" t="s">
        <v>293</v>
      </c>
      <c r="E211">
        <v>33</v>
      </c>
      <c r="F211" t="s">
        <v>293</v>
      </c>
      <c r="G211" t="s">
        <v>294</v>
      </c>
      <c r="J211">
        <v>-1299.704282375784</v>
      </c>
      <c r="K211">
        <v>0.15</v>
      </c>
      <c r="L211">
        <v>1</v>
      </c>
      <c r="N211">
        <v>0.15</v>
      </c>
      <c r="O211">
        <v>-194.9556423563676</v>
      </c>
    </row>
    <row r="212" spans="1:15" hidden="1" x14ac:dyDescent="0.35">
      <c r="A212" t="s">
        <v>23</v>
      </c>
      <c r="B212" t="s">
        <v>272</v>
      </c>
      <c r="C212">
        <v>12</v>
      </c>
      <c r="D212" t="s">
        <v>293</v>
      </c>
      <c r="E212">
        <v>34</v>
      </c>
      <c r="F212" t="s">
        <v>293</v>
      </c>
      <c r="G212" t="s">
        <v>330</v>
      </c>
      <c r="J212">
        <v>-1940.4754602472931</v>
      </c>
      <c r="K212">
        <v>0.15</v>
      </c>
      <c r="L212">
        <v>1</v>
      </c>
      <c r="N212">
        <v>0.15</v>
      </c>
      <c r="O212">
        <v>-291.07131903709387</v>
      </c>
    </row>
    <row r="213" spans="1:15" hidden="1" x14ac:dyDescent="0.35">
      <c r="A213" t="s">
        <v>23</v>
      </c>
      <c r="B213" t="s">
        <v>272</v>
      </c>
      <c r="C213">
        <v>12</v>
      </c>
      <c r="D213" t="s">
        <v>293</v>
      </c>
      <c r="E213">
        <v>35</v>
      </c>
      <c r="F213" t="s">
        <v>293</v>
      </c>
      <c r="G213" t="s">
        <v>349</v>
      </c>
      <c r="J213">
        <v>-848.61068656216992</v>
      </c>
      <c r="K213">
        <v>0.15</v>
      </c>
      <c r="L213">
        <v>1</v>
      </c>
      <c r="N213">
        <v>0.15</v>
      </c>
      <c r="O213">
        <v>-127.29160298432549</v>
      </c>
    </row>
    <row r="214" spans="1:15" hidden="1" x14ac:dyDescent="0.35">
      <c r="A214" t="s">
        <v>23</v>
      </c>
      <c r="B214" t="s">
        <v>272</v>
      </c>
      <c r="C214">
        <v>12</v>
      </c>
      <c r="D214" t="s">
        <v>293</v>
      </c>
      <c r="E214">
        <v>36</v>
      </c>
      <c r="F214" t="s">
        <v>293</v>
      </c>
      <c r="G214" t="s">
        <v>350</v>
      </c>
      <c r="J214">
        <v>-1146.6616535096309</v>
      </c>
      <c r="K214">
        <v>0.15</v>
      </c>
      <c r="L214">
        <v>1</v>
      </c>
      <c r="N214">
        <v>0.15</v>
      </c>
      <c r="O214">
        <v>-171.9992480264446</v>
      </c>
    </row>
    <row r="215" spans="1:15" hidden="1" x14ac:dyDescent="0.35">
      <c r="A215" t="s">
        <v>23</v>
      </c>
      <c r="B215" t="s">
        <v>295</v>
      </c>
      <c r="C215" t="s">
        <v>296</v>
      </c>
      <c r="D215" t="s">
        <v>297</v>
      </c>
      <c r="E215">
        <v>59</v>
      </c>
      <c r="F215" t="s">
        <v>297</v>
      </c>
      <c r="G215" t="s">
        <v>298</v>
      </c>
      <c r="J215">
        <v>-27290000</v>
      </c>
      <c r="K215">
        <v>0.15</v>
      </c>
      <c r="L215">
        <v>1.4142135623730949</v>
      </c>
      <c r="M215" t="s">
        <v>351</v>
      </c>
      <c r="N215">
        <v>0.1060660171779821</v>
      </c>
      <c r="O215">
        <v>-2894541.608787132</v>
      </c>
    </row>
    <row r="216" spans="1:15" hidden="1" x14ac:dyDescent="0.35">
      <c r="A216" t="s">
        <v>23</v>
      </c>
      <c r="B216" t="s">
        <v>295</v>
      </c>
      <c r="C216" t="s">
        <v>296</v>
      </c>
      <c r="D216" t="s">
        <v>297</v>
      </c>
      <c r="E216">
        <v>60</v>
      </c>
      <c r="F216" t="s">
        <v>297</v>
      </c>
      <c r="G216" t="s">
        <v>308</v>
      </c>
      <c r="J216">
        <v>6822500</v>
      </c>
      <c r="K216">
        <v>0.15</v>
      </c>
      <c r="L216">
        <v>1.4142135623730949</v>
      </c>
      <c r="M216" t="s">
        <v>351</v>
      </c>
      <c r="N216">
        <v>0.1060660171779821</v>
      </c>
      <c r="O216">
        <v>723635.40219678311</v>
      </c>
    </row>
    <row r="217" spans="1:15" hidden="1" x14ac:dyDescent="0.35">
      <c r="A217" t="s">
        <v>23</v>
      </c>
      <c r="B217" t="s">
        <v>295</v>
      </c>
      <c r="C217" t="s">
        <v>296</v>
      </c>
      <c r="D217" t="s">
        <v>297</v>
      </c>
      <c r="E217">
        <v>61</v>
      </c>
      <c r="F217" t="s">
        <v>297</v>
      </c>
      <c r="G217" t="s">
        <v>352</v>
      </c>
      <c r="J217">
        <v>4093500</v>
      </c>
      <c r="K217">
        <v>0.15</v>
      </c>
      <c r="L217">
        <v>1.4142135623730949</v>
      </c>
      <c r="M217" t="s">
        <v>351</v>
      </c>
      <c r="N217">
        <v>0.1060660171779821</v>
      </c>
      <c r="O217">
        <v>434181.24131806992</v>
      </c>
    </row>
    <row r="218" spans="1:15" hidden="1" x14ac:dyDescent="0.35">
      <c r="A218" t="s">
        <v>23</v>
      </c>
      <c r="B218" t="s">
        <v>295</v>
      </c>
      <c r="C218" t="s">
        <v>296</v>
      </c>
      <c r="D218" t="s">
        <v>297</v>
      </c>
      <c r="E218">
        <v>62</v>
      </c>
      <c r="F218" t="s">
        <v>297</v>
      </c>
      <c r="G218" t="s">
        <v>310</v>
      </c>
      <c r="J218">
        <v>2729000</v>
      </c>
      <c r="K218">
        <v>0.15</v>
      </c>
      <c r="L218">
        <v>1.4142135623730949</v>
      </c>
      <c r="M218" t="s">
        <v>351</v>
      </c>
      <c r="N218">
        <v>0.1060660171779821</v>
      </c>
      <c r="O218">
        <v>289454.16087871318</v>
      </c>
    </row>
    <row r="219" spans="1:15" hidden="1" x14ac:dyDescent="0.35">
      <c r="A219" t="s">
        <v>23</v>
      </c>
      <c r="B219" t="s">
        <v>299</v>
      </c>
      <c r="C219" t="s">
        <v>300</v>
      </c>
      <c r="D219" t="s">
        <v>301</v>
      </c>
      <c r="E219">
        <v>59</v>
      </c>
      <c r="F219" t="s">
        <v>301</v>
      </c>
      <c r="G219" t="s">
        <v>298</v>
      </c>
      <c r="H219">
        <v>0.25</v>
      </c>
      <c r="J219">
        <v>36919.668929158433</v>
      </c>
      <c r="K219">
        <v>1.7000000000000001E-2</v>
      </c>
      <c r="L219">
        <v>1.4142135623730949</v>
      </c>
      <c r="M219" t="s">
        <v>353</v>
      </c>
      <c r="N219">
        <v>1.202081528017131E-2</v>
      </c>
      <c r="O219">
        <v>443.80452040249372</v>
      </c>
    </row>
    <row r="220" spans="1:15" hidden="1" x14ac:dyDescent="0.35">
      <c r="A220" t="s">
        <v>23</v>
      </c>
      <c r="B220" t="s">
        <v>299</v>
      </c>
      <c r="C220" t="s">
        <v>300</v>
      </c>
      <c r="D220" t="s">
        <v>301</v>
      </c>
      <c r="E220">
        <v>60</v>
      </c>
      <c r="F220" t="s">
        <v>301</v>
      </c>
      <c r="G220" t="s">
        <v>308</v>
      </c>
      <c r="H220">
        <v>0.25</v>
      </c>
      <c r="J220">
        <v>-5318.9483135049904</v>
      </c>
      <c r="K220">
        <v>1.7000000000000001E-2</v>
      </c>
      <c r="L220">
        <v>1.4142135623730949</v>
      </c>
      <c r="M220" t="s">
        <v>353</v>
      </c>
      <c r="N220">
        <v>1.202081528017131E-2</v>
      </c>
      <c r="O220">
        <v>-63.938095161422211</v>
      </c>
    </row>
    <row r="221" spans="1:15" hidden="1" x14ac:dyDescent="0.35">
      <c r="A221" t="s">
        <v>23</v>
      </c>
      <c r="B221" t="s">
        <v>299</v>
      </c>
      <c r="C221" t="s">
        <v>300</v>
      </c>
      <c r="D221" t="s">
        <v>301</v>
      </c>
      <c r="E221">
        <v>61</v>
      </c>
      <c r="F221" t="s">
        <v>301</v>
      </c>
      <c r="G221" t="s">
        <v>352</v>
      </c>
      <c r="H221">
        <v>0.25</v>
      </c>
      <c r="J221">
        <v>-6125.6541074868665</v>
      </c>
      <c r="K221">
        <v>1.7000000000000001E-2</v>
      </c>
      <c r="L221">
        <v>1.4142135623730949</v>
      </c>
      <c r="M221" t="s">
        <v>353</v>
      </c>
      <c r="N221">
        <v>1.202081528017131E-2</v>
      </c>
      <c r="O221">
        <v>-73.635356496322274</v>
      </c>
    </row>
    <row r="222" spans="1:15" hidden="1" x14ac:dyDescent="0.35">
      <c r="A222" t="s">
        <v>23</v>
      </c>
      <c r="B222" t="s">
        <v>299</v>
      </c>
      <c r="C222" t="s">
        <v>300</v>
      </c>
      <c r="D222" t="s">
        <v>301</v>
      </c>
      <c r="E222">
        <v>62</v>
      </c>
      <c r="F222" t="s">
        <v>301</v>
      </c>
      <c r="G222" t="s">
        <v>310</v>
      </c>
      <c r="H222">
        <v>0.25</v>
      </c>
      <c r="J222">
        <v>-4083.7694049912438</v>
      </c>
      <c r="K222">
        <v>1.7000000000000001E-2</v>
      </c>
      <c r="L222">
        <v>1.4142135623730949</v>
      </c>
      <c r="M222" t="s">
        <v>353</v>
      </c>
      <c r="N222">
        <v>1.202081528017131E-2</v>
      </c>
      <c r="O222">
        <v>-49.090237664214847</v>
      </c>
    </row>
    <row r="223" spans="1:15" hidden="1" x14ac:dyDescent="0.35">
      <c r="A223" t="s">
        <v>23</v>
      </c>
      <c r="B223" t="s">
        <v>299</v>
      </c>
      <c r="C223" t="s">
        <v>300</v>
      </c>
      <c r="D223" t="s">
        <v>302</v>
      </c>
      <c r="E223">
        <v>59</v>
      </c>
      <c r="F223" t="s">
        <v>302</v>
      </c>
      <c r="G223" t="s">
        <v>298</v>
      </c>
      <c r="H223">
        <v>0.5</v>
      </c>
      <c r="J223">
        <v>163551.07538856831</v>
      </c>
      <c r="K223">
        <v>1.7000000000000001E-2</v>
      </c>
      <c r="L223">
        <v>1.4142135623730949</v>
      </c>
      <c r="M223" t="s">
        <v>353</v>
      </c>
      <c r="N223">
        <v>1.202081528017131E-2</v>
      </c>
      <c r="O223">
        <v>1966.0172661193519</v>
      </c>
    </row>
    <row r="224" spans="1:15" hidden="1" x14ac:dyDescent="0.35">
      <c r="A224" t="s">
        <v>23</v>
      </c>
      <c r="B224" t="s">
        <v>299</v>
      </c>
      <c r="C224" t="s">
        <v>300</v>
      </c>
      <c r="D224" t="s">
        <v>302</v>
      </c>
      <c r="E224">
        <v>60</v>
      </c>
      <c r="F224" t="s">
        <v>302</v>
      </c>
      <c r="G224" t="s">
        <v>308</v>
      </c>
      <c r="H224">
        <v>0.5</v>
      </c>
      <c r="J224">
        <v>-19849.254266830481</v>
      </c>
      <c r="K224">
        <v>1.7000000000000001E-2</v>
      </c>
      <c r="L224">
        <v>1.4142135623730949</v>
      </c>
      <c r="M224" t="s">
        <v>353</v>
      </c>
      <c r="N224">
        <v>1.202081528017131E-2</v>
      </c>
      <c r="O224">
        <v>-238.60421899072139</v>
      </c>
    </row>
    <row r="225" spans="1:15" hidden="1" x14ac:dyDescent="0.35">
      <c r="A225" t="s">
        <v>23</v>
      </c>
      <c r="B225" t="s">
        <v>299</v>
      </c>
      <c r="C225" t="s">
        <v>300</v>
      </c>
      <c r="D225" t="s">
        <v>302</v>
      </c>
      <c r="E225">
        <v>61</v>
      </c>
      <c r="F225" t="s">
        <v>302</v>
      </c>
      <c r="G225" t="s">
        <v>352</v>
      </c>
      <c r="H225">
        <v>0.5</v>
      </c>
      <c r="J225">
        <v>-9425.259092631677</v>
      </c>
      <c r="K225">
        <v>1.7000000000000001E-2</v>
      </c>
      <c r="L225">
        <v>1.4142135623730949</v>
      </c>
      <c r="M225" t="s">
        <v>353</v>
      </c>
      <c r="N225">
        <v>1.202081528017131E-2</v>
      </c>
      <c r="O225">
        <v>-113.2992985202804</v>
      </c>
    </row>
    <row r="226" spans="1:15" hidden="1" x14ac:dyDescent="0.35">
      <c r="A226" t="s">
        <v>23</v>
      </c>
      <c r="B226" t="s">
        <v>299</v>
      </c>
      <c r="C226" t="s">
        <v>300</v>
      </c>
      <c r="D226" t="s">
        <v>302</v>
      </c>
      <c r="E226">
        <v>62</v>
      </c>
      <c r="F226" t="s">
        <v>302</v>
      </c>
      <c r="G226" t="s">
        <v>310</v>
      </c>
      <c r="H226">
        <v>0.5</v>
      </c>
      <c r="J226">
        <v>-6283.5060578763096</v>
      </c>
      <c r="K226">
        <v>1.7000000000000001E-2</v>
      </c>
      <c r="L226">
        <v>1.4142135623730949</v>
      </c>
      <c r="M226" t="s">
        <v>353</v>
      </c>
      <c r="N226">
        <v>1.202081528017131E-2</v>
      </c>
      <c r="O226">
        <v>-75.532865633568534</v>
      </c>
    </row>
    <row r="227" spans="1:15" hidden="1" x14ac:dyDescent="0.35">
      <c r="A227" t="s">
        <v>23</v>
      </c>
      <c r="B227" t="s">
        <v>299</v>
      </c>
      <c r="C227" t="s">
        <v>300</v>
      </c>
      <c r="D227" t="s">
        <v>303</v>
      </c>
      <c r="E227">
        <v>59</v>
      </c>
      <c r="F227" t="s">
        <v>303</v>
      </c>
      <c r="G227" t="s">
        <v>298</v>
      </c>
      <c r="H227">
        <v>1</v>
      </c>
      <c r="J227">
        <v>583914.19270265033</v>
      </c>
      <c r="K227">
        <v>1.6E-2</v>
      </c>
      <c r="L227">
        <v>1.4142135623730949</v>
      </c>
      <c r="M227" t="s">
        <v>353</v>
      </c>
      <c r="N227">
        <v>1.131370849898476E-2</v>
      </c>
      <c r="O227">
        <v>6606.2349646578014</v>
      </c>
    </row>
    <row r="228" spans="1:15" hidden="1" x14ac:dyDescent="0.35">
      <c r="A228" t="s">
        <v>23</v>
      </c>
      <c r="B228" t="s">
        <v>299</v>
      </c>
      <c r="C228" t="s">
        <v>300</v>
      </c>
      <c r="D228" t="s">
        <v>303</v>
      </c>
      <c r="E228">
        <v>60</v>
      </c>
      <c r="F228" t="s">
        <v>303</v>
      </c>
      <c r="G228" t="s">
        <v>308</v>
      </c>
      <c r="H228">
        <v>1</v>
      </c>
      <c r="J228">
        <v>-73339.703898664506</v>
      </c>
      <c r="K228">
        <v>1.6E-2</v>
      </c>
      <c r="L228">
        <v>1.4142135623730949</v>
      </c>
      <c r="M228" t="s">
        <v>353</v>
      </c>
      <c r="N228">
        <v>1.131370849898476E-2</v>
      </c>
      <c r="O228">
        <v>-829.74403131134648</v>
      </c>
    </row>
    <row r="229" spans="1:15" hidden="1" x14ac:dyDescent="0.35">
      <c r="A229" t="s">
        <v>23</v>
      </c>
      <c r="B229" t="s">
        <v>299</v>
      </c>
      <c r="C229" t="s">
        <v>300</v>
      </c>
      <c r="D229" t="s">
        <v>303</v>
      </c>
      <c r="E229">
        <v>61</v>
      </c>
      <c r="F229" t="s">
        <v>303</v>
      </c>
      <c r="G229" t="s">
        <v>352</v>
      </c>
      <c r="H229">
        <v>1</v>
      </c>
      <c r="J229">
        <v>-44122.630725983923</v>
      </c>
      <c r="K229">
        <v>1.6E-2</v>
      </c>
      <c r="L229">
        <v>1.4142135623730949</v>
      </c>
      <c r="M229" t="s">
        <v>353</v>
      </c>
      <c r="N229">
        <v>1.131370849898476E-2</v>
      </c>
      <c r="O229">
        <v>-499.19058224213052</v>
      </c>
    </row>
    <row r="230" spans="1:15" hidden="1" x14ac:dyDescent="0.35">
      <c r="A230" t="s">
        <v>23</v>
      </c>
      <c r="B230" t="s">
        <v>299</v>
      </c>
      <c r="C230" t="s">
        <v>300</v>
      </c>
      <c r="D230" t="s">
        <v>303</v>
      </c>
      <c r="E230">
        <v>62</v>
      </c>
      <c r="F230" t="s">
        <v>303</v>
      </c>
      <c r="G230" t="s">
        <v>310</v>
      </c>
      <c r="H230">
        <v>1</v>
      </c>
      <c r="J230">
        <v>-29415.087150655949</v>
      </c>
      <c r="K230">
        <v>1.6E-2</v>
      </c>
      <c r="L230">
        <v>1.4142135623730949</v>
      </c>
      <c r="M230" t="s">
        <v>353</v>
      </c>
      <c r="N230">
        <v>1.131370849898476E-2</v>
      </c>
      <c r="O230">
        <v>-332.7937214947537</v>
      </c>
    </row>
    <row r="231" spans="1:15" hidden="1" x14ac:dyDescent="0.35">
      <c r="A231" t="s">
        <v>23</v>
      </c>
      <c r="B231" t="s">
        <v>299</v>
      </c>
      <c r="C231" t="s">
        <v>300</v>
      </c>
      <c r="D231" t="s">
        <v>304</v>
      </c>
      <c r="E231">
        <v>59</v>
      </c>
      <c r="F231" t="s">
        <v>304</v>
      </c>
      <c r="G231" t="s">
        <v>298</v>
      </c>
      <c r="H231">
        <v>2</v>
      </c>
      <c r="J231">
        <v>1301929.7213929801</v>
      </c>
      <c r="K231">
        <v>1.2999999999999999E-2</v>
      </c>
      <c r="L231">
        <v>1.4142135623730949</v>
      </c>
      <c r="M231" t="s">
        <v>353</v>
      </c>
      <c r="N231">
        <v>9.1923881554251182E-3</v>
      </c>
      <c r="O231">
        <v>11967.843350128751</v>
      </c>
    </row>
    <row r="232" spans="1:15" hidden="1" x14ac:dyDescent="0.35">
      <c r="A232" t="s">
        <v>23</v>
      </c>
      <c r="B232" t="s">
        <v>299</v>
      </c>
      <c r="C232" t="s">
        <v>300</v>
      </c>
      <c r="D232" t="s">
        <v>304</v>
      </c>
      <c r="E232">
        <v>60</v>
      </c>
      <c r="F232" t="s">
        <v>304</v>
      </c>
      <c r="G232" t="s">
        <v>308</v>
      </c>
      <c r="H232">
        <v>2</v>
      </c>
      <c r="J232">
        <v>-166051.22627903771</v>
      </c>
      <c r="K232">
        <v>1.2999999999999999E-2</v>
      </c>
      <c r="L232">
        <v>1.4142135623730949</v>
      </c>
      <c r="M232" t="s">
        <v>353</v>
      </c>
      <c r="N232">
        <v>9.1923881554251182E-3</v>
      </c>
      <c r="O232">
        <v>-1526.4073256412421</v>
      </c>
    </row>
    <row r="233" spans="1:15" hidden="1" x14ac:dyDescent="0.35">
      <c r="A233" t="s">
        <v>23</v>
      </c>
      <c r="B233" t="s">
        <v>299</v>
      </c>
      <c r="C233" t="s">
        <v>300</v>
      </c>
      <c r="D233" t="s">
        <v>304</v>
      </c>
      <c r="E233">
        <v>61</v>
      </c>
      <c r="F233" t="s">
        <v>304</v>
      </c>
      <c r="G233" t="s">
        <v>352</v>
      </c>
      <c r="H233">
        <v>2</v>
      </c>
      <c r="J233">
        <v>-99763.511969958796</v>
      </c>
      <c r="K233">
        <v>1.2999999999999999E-2</v>
      </c>
      <c r="L233">
        <v>1.4142135623730949</v>
      </c>
      <c r="M233" t="s">
        <v>353</v>
      </c>
      <c r="N233">
        <v>9.1923881554251182E-3</v>
      </c>
      <c r="O233">
        <v>-917.06492577626125</v>
      </c>
    </row>
    <row r="234" spans="1:15" hidden="1" x14ac:dyDescent="0.35">
      <c r="A234" t="s">
        <v>23</v>
      </c>
      <c r="B234" t="s">
        <v>299</v>
      </c>
      <c r="C234" t="s">
        <v>300</v>
      </c>
      <c r="D234" t="s">
        <v>304</v>
      </c>
      <c r="E234">
        <v>62</v>
      </c>
      <c r="F234" t="s">
        <v>304</v>
      </c>
      <c r="G234" t="s">
        <v>310</v>
      </c>
      <c r="H234">
        <v>2</v>
      </c>
      <c r="J234">
        <v>-66509.007976094377</v>
      </c>
      <c r="K234">
        <v>1.2999999999999999E-2</v>
      </c>
      <c r="L234">
        <v>1.4142135623730949</v>
      </c>
      <c r="M234" t="s">
        <v>353</v>
      </c>
      <c r="N234">
        <v>9.1923881554251182E-3</v>
      </c>
      <c r="O234">
        <v>-611.3766171485247</v>
      </c>
    </row>
    <row r="235" spans="1:15" hidden="1" x14ac:dyDescent="0.35">
      <c r="A235" t="s">
        <v>23</v>
      </c>
      <c r="B235" t="s">
        <v>299</v>
      </c>
      <c r="C235" t="s">
        <v>300</v>
      </c>
      <c r="D235" t="s">
        <v>305</v>
      </c>
      <c r="E235">
        <v>59</v>
      </c>
      <c r="F235" t="s">
        <v>305</v>
      </c>
      <c r="G235" t="s">
        <v>298</v>
      </c>
      <c r="H235">
        <v>3</v>
      </c>
      <c r="J235">
        <v>34534624.4598943</v>
      </c>
      <c r="K235">
        <v>1.2E-2</v>
      </c>
      <c r="L235">
        <v>1.4142135623730949</v>
      </c>
      <c r="M235" t="s">
        <v>353</v>
      </c>
      <c r="N235">
        <v>8.4852813742385715E-3</v>
      </c>
      <c r="O235">
        <v>293036.00569586491</v>
      </c>
    </row>
    <row r="236" spans="1:15" hidden="1" x14ac:dyDescent="0.35">
      <c r="A236" t="s">
        <v>23</v>
      </c>
      <c r="B236" t="s">
        <v>299</v>
      </c>
      <c r="C236" t="s">
        <v>300</v>
      </c>
      <c r="D236" t="s">
        <v>305</v>
      </c>
      <c r="E236">
        <v>60</v>
      </c>
      <c r="F236" t="s">
        <v>305</v>
      </c>
      <c r="G236" t="s">
        <v>308</v>
      </c>
      <c r="H236">
        <v>3</v>
      </c>
      <c r="J236">
        <v>-409401.80989018059</v>
      </c>
      <c r="K236">
        <v>1.2E-2</v>
      </c>
      <c r="L236">
        <v>1.4142135623730949</v>
      </c>
      <c r="M236" t="s">
        <v>353</v>
      </c>
      <c r="N236">
        <v>8.4852813742385715E-3</v>
      </c>
      <c r="O236">
        <v>-3473.88955204071</v>
      </c>
    </row>
    <row r="237" spans="1:15" hidden="1" x14ac:dyDescent="0.35">
      <c r="A237" t="s">
        <v>23</v>
      </c>
      <c r="B237" t="s">
        <v>299</v>
      </c>
      <c r="C237" t="s">
        <v>300</v>
      </c>
      <c r="D237" t="s">
        <v>305</v>
      </c>
      <c r="E237">
        <v>61</v>
      </c>
      <c r="F237" t="s">
        <v>305</v>
      </c>
      <c r="G237" t="s">
        <v>352</v>
      </c>
      <c r="H237">
        <v>3</v>
      </c>
      <c r="J237">
        <v>-245952.0004804538</v>
      </c>
      <c r="K237">
        <v>1.2E-2</v>
      </c>
      <c r="L237">
        <v>1.4142135623730949</v>
      </c>
      <c r="M237" t="s">
        <v>353</v>
      </c>
      <c r="N237">
        <v>8.4852813742385715E-3</v>
      </c>
      <c r="O237">
        <v>-2086.9719286335112</v>
      </c>
    </row>
    <row r="238" spans="1:15" hidden="1" x14ac:dyDescent="0.35">
      <c r="A238" t="s">
        <v>23</v>
      </c>
      <c r="B238" t="s">
        <v>299</v>
      </c>
      <c r="C238" t="s">
        <v>300</v>
      </c>
      <c r="D238" t="s">
        <v>305</v>
      </c>
      <c r="E238">
        <v>62</v>
      </c>
      <c r="F238" t="s">
        <v>305</v>
      </c>
      <c r="G238" t="s">
        <v>310</v>
      </c>
      <c r="H238">
        <v>3</v>
      </c>
      <c r="J238">
        <v>-163968.00031642441</v>
      </c>
      <c r="K238">
        <v>1.2E-2</v>
      </c>
      <c r="L238">
        <v>1.4142135623730949</v>
      </c>
      <c r="M238" t="s">
        <v>353</v>
      </c>
      <c r="N238">
        <v>8.4852813742385715E-3</v>
      </c>
      <c r="O238">
        <v>-1391.3146190560999</v>
      </c>
    </row>
    <row r="239" spans="1:15" hidden="1" x14ac:dyDescent="0.35">
      <c r="A239" t="s">
        <v>23</v>
      </c>
      <c r="B239" t="s">
        <v>299</v>
      </c>
      <c r="C239" t="s">
        <v>300</v>
      </c>
      <c r="D239" t="s">
        <v>306</v>
      </c>
      <c r="E239">
        <v>59</v>
      </c>
      <c r="F239" t="s">
        <v>306</v>
      </c>
      <c r="G239" t="s">
        <v>298</v>
      </c>
      <c r="H239">
        <v>5</v>
      </c>
      <c r="J239">
        <v>40246655.980695322</v>
      </c>
      <c r="K239">
        <v>1.0999999999999999E-2</v>
      </c>
      <c r="L239">
        <v>1.4142135623730949</v>
      </c>
      <c r="M239" t="s">
        <v>353</v>
      </c>
      <c r="N239">
        <v>7.778174593052023E-3</v>
      </c>
      <c r="O239">
        <v>313045.51700434962</v>
      </c>
    </row>
    <row r="240" spans="1:15" hidden="1" x14ac:dyDescent="0.35">
      <c r="A240" t="s">
        <v>23</v>
      </c>
      <c r="B240" t="s">
        <v>299</v>
      </c>
      <c r="C240" t="s">
        <v>300</v>
      </c>
      <c r="D240" t="s">
        <v>306</v>
      </c>
      <c r="E240">
        <v>60</v>
      </c>
      <c r="F240" t="s">
        <v>306</v>
      </c>
      <c r="G240" t="s">
        <v>308</v>
      </c>
      <c r="H240">
        <v>5</v>
      </c>
      <c r="J240">
        <v>-32738025.724086002</v>
      </c>
      <c r="K240">
        <v>1.0999999999999999E-2</v>
      </c>
      <c r="L240">
        <v>1.4142135623730949</v>
      </c>
      <c r="M240" t="s">
        <v>353</v>
      </c>
      <c r="N240">
        <v>7.778174593052023E-3</v>
      </c>
      <c r="O240">
        <v>-254642.0799137693</v>
      </c>
    </row>
    <row r="241" spans="1:15" hidden="1" x14ac:dyDescent="0.35">
      <c r="A241" t="s">
        <v>23</v>
      </c>
      <c r="B241" t="s">
        <v>299</v>
      </c>
      <c r="C241" t="s">
        <v>300</v>
      </c>
      <c r="D241" t="s">
        <v>306</v>
      </c>
      <c r="E241">
        <v>61</v>
      </c>
      <c r="F241" t="s">
        <v>306</v>
      </c>
      <c r="G241" t="s">
        <v>352</v>
      </c>
      <c r="H241">
        <v>5</v>
      </c>
      <c r="J241">
        <v>-8923943.2405627258</v>
      </c>
      <c r="K241">
        <v>1.0999999999999999E-2</v>
      </c>
      <c r="L241">
        <v>1.4142135623730949</v>
      </c>
      <c r="M241" t="s">
        <v>353</v>
      </c>
      <c r="N241">
        <v>7.778174593052023E-3</v>
      </c>
      <c r="O241">
        <v>-69411.988583583327</v>
      </c>
    </row>
    <row r="242" spans="1:15" hidden="1" x14ac:dyDescent="0.35">
      <c r="A242" t="s">
        <v>23</v>
      </c>
      <c r="B242" t="s">
        <v>299</v>
      </c>
      <c r="C242" t="s">
        <v>300</v>
      </c>
      <c r="D242" t="s">
        <v>306</v>
      </c>
      <c r="E242">
        <v>62</v>
      </c>
      <c r="F242" t="s">
        <v>306</v>
      </c>
      <c r="G242" t="s">
        <v>310</v>
      </c>
      <c r="H242">
        <v>5</v>
      </c>
      <c r="J242">
        <v>-670669.69780728978</v>
      </c>
      <c r="K242">
        <v>1.0999999999999999E-2</v>
      </c>
      <c r="L242">
        <v>1.4142135623730949</v>
      </c>
      <c r="M242" t="s">
        <v>353</v>
      </c>
      <c r="N242">
        <v>7.778174593052023E-3</v>
      </c>
      <c r="O242">
        <v>-5216.5860038145393</v>
      </c>
    </row>
    <row r="243" spans="1:15" hidden="1" x14ac:dyDescent="0.35">
      <c r="A243" t="s">
        <v>23</v>
      </c>
      <c r="B243" t="s">
        <v>299</v>
      </c>
      <c r="C243" t="s">
        <v>300</v>
      </c>
      <c r="D243" t="s">
        <v>307</v>
      </c>
      <c r="E243">
        <v>60</v>
      </c>
      <c r="F243" t="s">
        <v>307</v>
      </c>
      <c r="G243" t="s">
        <v>308</v>
      </c>
      <c r="H243">
        <v>10</v>
      </c>
      <c r="J243">
        <v>-857112.84339150134</v>
      </c>
      <c r="K243">
        <v>1.0999999999999999E-2</v>
      </c>
      <c r="L243">
        <v>1.4142135623730949</v>
      </c>
      <c r="M243" t="s">
        <v>353</v>
      </c>
      <c r="N243">
        <v>7.778174593052023E-3</v>
      </c>
      <c r="O243">
        <v>-6666.7733418463531</v>
      </c>
    </row>
    <row r="244" spans="1:15" hidden="1" x14ac:dyDescent="0.35">
      <c r="A244" t="s">
        <v>23</v>
      </c>
      <c r="B244" t="s">
        <v>299</v>
      </c>
      <c r="C244" t="s">
        <v>300</v>
      </c>
      <c r="D244" t="s">
        <v>307</v>
      </c>
      <c r="E244">
        <v>61</v>
      </c>
      <c r="F244" t="s">
        <v>307</v>
      </c>
      <c r="G244" t="s">
        <v>352</v>
      </c>
      <c r="H244">
        <v>10</v>
      </c>
      <c r="J244">
        <v>-25657154.107144959</v>
      </c>
      <c r="K244">
        <v>1.0999999999999999E-2</v>
      </c>
      <c r="L244">
        <v>1.4142135623730949</v>
      </c>
      <c r="M244" t="s">
        <v>353</v>
      </c>
      <c r="N244">
        <v>7.778174593052023E-3</v>
      </c>
      <c r="O244">
        <v>-199565.8242062153</v>
      </c>
    </row>
    <row r="245" spans="1:15" hidden="1" x14ac:dyDescent="0.35">
      <c r="A245" t="s">
        <v>23</v>
      </c>
      <c r="B245" t="s">
        <v>299</v>
      </c>
      <c r="C245" t="s">
        <v>300</v>
      </c>
      <c r="D245" t="s">
        <v>307</v>
      </c>
      <c r="E245">
        <v>62</v>
      </c>
      <c r="F245" t="s">
        <v>307</v>
      </c>
      <c r="G245" t="s">
        <v>310</v>
      </c>
      <c r="H245">
        <v>10</v>
      </c>
      <c r="J245">
        <v>-1549812.3691375779</v>
      </c>
      <c r="K245">
        <v>1.0999999999999999E-2</v>
      </c>
      <c r="L245">
        <v>1.4142135623730949</v>
      </c>
      <c r="M245" t="s">
        <v>353</v>
      </c>
      <c r="N245">
        <v>7.778174593052023E-3</v>
      </c>
      <c r="O245">
        <v>-12054.711193623671</v>
      </c>
    </row>
    <row r="246" spans="1:15" hidden="1" x14ac:dyDescent="0.35">
      <c r="A246" t="s">
        <v>23</v>
      </c>
      <c r="B246" t="s">
        <v>299</v>
      </c>
      <c r="C246" t="s">
        <v>300</v>
      </c>
      <c r="D246" t="s">
        <v>309</v>
      </c>
      <c r="E246">
        <v>62</v>
      </c>
      <c r="F246" t="s">
        <v>309</v>
      </c>
      <c r="G246" t="s">
        <v>310</v>
      </c>
      <c r="H246">
        <v>15</v>
      </c>
      <c r="J246">
        <v>-2272188.6602082378</v>
      </c>
      <c r="K246">
        <v>1.0999999999999999E-2</v>
      </c>
      <c r="L246">
        <v>1.4142135623730949</v>
      </c>
      <c r="M246" t="s">
        <v>353</v>
      </c>
      <c r="N246">
        <v>7.778174593052023E-3</v>
      </c>
      <c r="O246">
        <v>-17673.480107452629</v>
      </c>
    </row>
    <row r="247" spans="1:15" hidden="1" x14ac:dyDescent="0.35">
      <c r="A247" t="s">
        <v>23</v>
      </c>
      <c r="B247" t="s">
        <v>299</v>
      </c>
      <c r="C247" t="s">
        <v>300</v>
      </c>
      <c r="D247" t="s">
        <v>311</v>
      </c>
      <c r="E247">
        <v>62</v>
      </c>
      <c r="F247" t="s">
        <v>311</v>
      </c>
      <c r="G247" t="s">
        <v>310</v>
      </c>
      <c r="H247">
        <v>20</v>
      </c>
      <c r="J247">
        <v>-6277125.9084475907</v>
      </c>
      <c r="K247">
        <v>1.0999999999999999E-2</v>
      </c>
      <c r="L247">
        <v>1.4142135623730949</v>
      </c>
      <c r="M247" t="s">
        <v>353</v>
      </c>
      <c r="N247">
        <v>7.778174593052023E-3</v>
      </c>
      <c r="O247">
        <v>-48824.58125847565</v>
      </c>
    </row>
    <row r="248" spans="1:15" hidden="1" x14ac:dyDescent="0.35">
      <c r="A248" t="s">
        <v>23</v>
      </c>
      <c r="B248" t="s">
        <v>299</v>
      </c>
      <c r="C248" t="s">
        <v>300</v>
      </c>
      <c r="D248" t="s">
        <v>312</v>
      </c>
      <c r="E248">
        <v>62</v>
      </c>
      <c r="F248" t="s">
        <v>312</v>
      </c>
      <c r="G248" t="s">
        <v>310</v>
      </c>
      <c r="H248">
        <v>30</v>
      </c>
      <c r="J248">
        <v>-72461695.115680456</v>
      </c>
      <c r="K248">
        <v>1.0999999999999999E-2</v>
      </c>
      <c r="L248">
        <v>1.4142135623730949</v>
      </c>
      <c r="M248" t="s">
        <v>353</v>
      </c>
      <c r="N248">
        <v>7.778174593052023E-3</v>
      </c>
      <c r="O248">
        <v>-563619.71591826761</v>
      </c>
    </row>
    <row r="249" spans="1:15" hidden="1" x14ac:dyDescent="0.35">
      <c r="A249" t="s">
        <v>23</v>
      </c>
      <c r="B249" t="s">
        <v>299</v>
      </c>
      <c r="C249" t="s">
        <v>300</v>
      </c>
      <c r="D249" t="s">
        <v>313</v>
      </c>
      <c r="E249">
        <v>60</v>
      </c>
      <c r="F249" t="s">
        <v>313</v>
      </c>
      <c r="G249" t="s">
        <v>308</v>
      </c>
      <c r="H249" t="s">
        <v>314</v>
      </c>
      <c r="J249">
        <v>34428049.838364772</v>
      </c>
      <c r="K249">
        <v>1.6E-2</v>
      </c>
      <c r="L249">
        <v>1.4142135623730949</v>
      </c>
      <c r="M249" t="s">
        <v>353</v>
      </c>
      <c r="N249">
        <v>1.131370849898476E-2</v>
      </c>
      <c r="O249">
        <v>389508.92005977849</v>
      </c>
    </row>
    <row r="250" spans="1:15" hidden="1" x14ac:dyDescent="0.35">
      <c r="A250" t="s">
        <v>23</v>
      </c>
      <c r="B250" t="s">
        <v>299</v>
      </c>
      <c r="C250" t="s">
        <v>300</v>
      </c>
      <c r="D250" t="s">
        <v>313</v>
      </c>
      <c r="E250">
        <v>61</v>
      </c>
      <c r="F250" t="s">
        <v>313</v>
      </c>
      <c r="G250" t="s">
        <v>352</v>
      </c>
      <c r="H250" t="s">
        <v>314</v>
      </c>
      <c r="J250">
        <v>35675622.616066657</v>
      </c>
      <c r="K250">
        <v>1.6E-2</v>
      </c>
      <c r="L250">
        <v>1.4142135623730949</v>
      </c>
      <c r="M250" t="s">
        <v>353</v>
      </c>
      <c r="N250">
        <v>1.131370849898476E-2</v>
      </c>
      <c r="O250">
        <v>403623.5947979663</v>
      </c>
    </row>
    <row r="251" spans="1:15" hidden="1" x14ac:dyDescent="0.35">
      <c r="A251" t="s">
        <v>23</v>
      </c>
      <c r="B251" t="s">
        <v>299</v>
      </c>
      <c r="C251" t="s">
        <v>300</v>
      </c>
      <c r="D251" t="s">
        <v>313</v>
      </c>
      <c r="E251">
        <v>62</v>
      </c>
      <c r="F251" t="s">
        <v>313</v>
      </c>
      <c r="G251" t="s">
        <v>310</v>
      </c>
      <c r="H251" t="s">
        <v>314</v>
      </c>
      <c r="J251">
        <v>99999120.786416307</v>
      </c>
      <c r="K251">
        <v>1.6E-2</v>
      </c>
      <c r="L251">
        <v>1.4142135623730949</v>
      </c>
      <c r="M251" t="s">
        <v>353</v>
      </c>
      <c r="N251">
        <v>1.131370849898476E-2</v>
      </c>
      <c r="O251">
        <v>1131360.9027322819</v>
      </c>
    </row>
    <row r="252" spans="1:15" hidden="1" x14ac:dyDescent="0.35">
      <c r="A252" t="s">
        <v>23</v>
      </c>
      <c r="B252" t="s">
        <v>299</v>
      </c>
      <c r="C252" t="s">
        <v>300</v>
      </c>
      <c r="D252" t="s">
        <v>315</v>
      </c>
      <c r="E252">
        <v>59</v>
      </c>
      <c r="F252" t="s">
        <v>315</v>
      </c>
      <c r="G252" t="s">
        <v>298</v>
      </c>
      <c r="H252" t="s">
        <v>316</v>
      </c>
      <c r="J252">
        <v>76860080.82728833</v>
      </c>
      <c r="K252">
        <v>1.6E-2</v>
      </c>
      <c r="L252">
        <v>1.4142135623730949</v>
      </c>
      <c r="M252" t="s">
        <v>353</v>
      </c>
      <c r="N252">
        <v>1.131370849898476E-2</v>
      </c>
      <c r="O252">
        <v>869572.54968834773</v>
      </c>
    </row>
    <row r="253" spans="1:15" hidden="1" x14ac:dyDescent="0.35">
      <c r="A253" t="s">
        <v>23</v>
      </c>
      <c r="B253" t="s">
        <v>299</v>
      </c>
      <c r="C253" t="s">
        <v>317</v>
      </c>
      <c r="D253" t="s">
        <v>318</v>
      </c>
      <c r="E253">
        <v>2</v>
      </c>
      <c r="F253" t="s">
        <v>318</v>
      </c>
      <c r="G253" t="s">
        <v>319</v>
      </c>
      <c r="H253">
        <v>0.25</v>
      </c>
      <c r="J253">
        <v>-10508.36685166701</v>
      </c>
      <c r="K253">
        <v>1.7000000000000001E-2</v>
      </c>
      <c r="L253">
        <v>1.4142135623730949</v>
      </c>
      <c r="M253" t="s">
        <v>353</v>
      </c>
      <c r="N253">
        <v>1.202081528017131E-2</v>
      </c>
      <c r="O253">
        <v>-126.3191368201645</v>
      </c>
    </row>
    <row r="254" spans="1:15" hidden="1" x14ac:dyDescent="0.35">
      <c r="A254" t="s">
        <v>23</v>
      </c>
      <c r="B254" t="s">
        <v>299</v>
      </c>
      <c r="C254" t="s">
        <v>317</v>
      </c>
      <c r="D254" t="s">
        <v>318</v>
      </c>
      <c r="E254">
        <v>3</v>
      </c>
      <c r="F254" t="s">
        <v>318</v>
      </c>
      <c r="G254" t="s">
        <v>113</v>
      </c>
      <c r="H254">
        <v>0.25</v>
      </c>
      <c r="J254">
        <v>-3246.6619853153129</v>
      </c>
      <c r="K254">
        <v>1.7000000000000001E-2</v>
      </c>
      <c r="L254">
        <v>1.4142135623730949</v>
      </c>
      <c r="M254" t="s">
        <v>353</v>
      </c>
      <c r="N254">
        <v>1.202081528017131E-2</v>
      </c>
      <c r="O254">
        <v>-39.027524002629633</v>
      </c>
    </row>
    <row r="255" spans="1:15" hidden="1" x14ac:dyDescent="0.35">
      <c r="A255" t="s">
        <v>23</v>
      </c>
      <c r="B255" t="s">
        <v>299</v>
      </c>
      <c r="C255" t="s">
        <v>317</v>
      </c>
      <c r="D255" t="s">
        <v>318</v>
      </c>
      <c r="E255">
        <v>4</v>
      </c>
      <c r="F255" t="s">
        <v>318</v>
      </c>
      <c r="G255" t="s">
        <v>115</v>
      </c>
      <c r="H255">
        <v>0.25</v>
      </c>
      <c r="J255">
        <v>-253.53334245892259</v>
      </c>
      <c r="K255">
        <v>1.7000000000000001E-2</v>
      </c>
      <c r="L255">
        <v>1.4142135623730949</v>
      </c>
      <c r="M255" t="s">
        <v>353</v>
      </c>
      <c r="N255">
        <v>1.202081528017131E-2</v>
      </c>
      <c r="O255">
        <v>-3.047677477063123</v>
      </c>
    </row>
    <row r="256" spans="1:15" hidden="1" x14ac:dyDescent="0.35">
      <c r="A256" t="s">
        <v>23</v>
      </c>
      <c r="B256" t="s">
        <v>299</v>
      </c>
      <c r="C256" t="s">
        <v>317</v>
      </c>
      <c r="D256" t="s">
        <v>318</v>
      </c>
      <c r="E256">
        <v>5</v>
      </c>
      <c r="F256" t="s">
        <v>318</v>
      </c>
      <c r="G256" t="s">
        <v>54</v>
      </c>
      <c r="H256">
        <v>0.25</v>
      </c>
      <c r="J256">
        <v>-170606.3212611184</v>
      </c>
      <c r="K256">
        <v>1.7000000000000001E-2</v>
      </c>
      <c r="L256">
        <v>1.4142135623730949</v>
      </c>
      <c r="M256" t="s">
        <v>353</v>
      </c>
      <c r="N256">
        <v>1.202081528017131E-2</v>
      </c>
      <c r="O256">
        <v>-2050.827073509467</v>
      </c>
    </row>
    <row r="257" spans="1:15" hidden="1" x14ac:dyDescent="0.35">
      <c r="A257" t="s">
        <v>23</v>
      </c>
      <c r="B257" t="s">
        <v>299</v>
      </c>
      <c r="C257" t="s">
        <v>317</v>
      </c>
      <c r="D257" t="s">
        <v>318</v>
      </c>
      <c r="E257">
        <v>6</v>
      </c>
      <c r="F257" t="s">
        <v>318</v>
      </c>
      <c r="G257" t="s">
        <v>117</v>
      </c>
      <c r="H257">
        <v>0.25</v>
      </c>
      <c r="J257">
        <v>-7864.2400100079612</v>
      </c>
      <c r="K257">
        <v>1.7000000000000001E-2</v>
      </c>
      <c r="L257">
        <v>1.4142135623730949</v>
      </c>
      <c r="M257" t="s">
        <v>353</v>
      </c>
      <c r="N257">
        <v>1.202081528017131E-2</v>
      </c>
      <c r="O257">
        <v>-94.534576479238282</v>
      </c>
    </row>
    <row r="258" spans="1:15" hidden="1" x14ac:dyDescent="0.35">
      <c r="A258" t="s">
        <v>23</v>
      </c>
      <c r="B258" t="s">
        <v>299</v>
      </c>
      <c r="C258" t="s">
        <v>317</v>
      </c>
      <c r="D258" t="s">
        <v>318</v>
      </c>
      <c r="E258">
        <v>7</v>
      </c>
      <c r="F258" t="s">
        <v>318</v>
      </c>
      <c r="G258" t="s">
        <v>144</v>
      </c>
      <c r="H258">
        <v>0.25</v>
      </c>
      <c r="J258">
        <v>-1740.910802993767</v>
      </c>
      <c r="K258">
        <v>1.7000000000000001E-2</v>
      </c>
      <c r="L258">
        <v>1.4142135623730949</v>
      </c>
      <c r="M258" t="s">
        <v>353</v>
      </c>
      <c r="N258">
        <v>1.202081528017131E-2</v>
      </c>
      <c r="O258">
        <v>-20.92716718204278</v>
      </c>
    </row>
    <row r="259" spans="1:15" hidden="1" x14ac:dyDescent="0.35">
      <c r="A259" t="s">
        <v>23</v>
      </c>
      <c r="B259" t="s">
        <v>299</v>
      </c>
      <c r="C259" t="s">
        <v>317</v>
      </c>
      <c r="D259" t="s">
        <v>318</v>
      </c>
      <c r="E259">
        <v>8</v>
      </c>
      <c r="F259" t="s">
        <v>318</v>
      </c>
      <c r="G259" t="s">
        <v>93</v>
      </c>
      <c r="H259">
        <v>0.25</v>
      </c>
      <c r="J259">
        <v>-2541.9825664130258</v>
      </c>
      <c r="K259">
        <v>1.7000000000000001E-2</v>
      </c>
      <c r="L259">
        <v>1.4142135623730949</v>
      </c>
      <c r="M259" t="s">
        <v>353</v>
      </c>
      <c r="N259">
        <v>1.202081528017131E-2</v>
      </c>
      <c r="O259">
        <v>-30.55670287626678</v>
      </c>
    </row>
    <row r="260" spans="1:15" hidden="1" x14ac:dyDescent="0.35">
      <c r="A260" t="s">
        <v>23</v>
      </c>
      <c r="B260" t="s">
        <v>299</v>
      </c>
      <c r="C260" t="s">
        <v>317</v>
      </c>
      <c r="D260" t="s">
        <v>318</v>
      </c>
      <c r="E260">
        <v>9</v>
      </c>
      <c r="F260" t="s">
        <v>318</v>
      </c>
      <c r="G260" t="s">
        <v>66</v>
      </c>
      <c r="H260">
        <v>0.25</v>
      </c>
      <c r="J260">
        <v>-2025.2088618804009</v>
      </c>
      <c r="K260">
        <v>1.7000000000000001E-2</v>
      </c>
      <c r="L260">
        <v>1.4142135623730949</v>
      </c>
      <c r="M260" t="s">
        <v>353</v>
      </c>
      <c r="N260">
        <v>1.202081528017131E-2</v>
      </c>
      <c r="O260">
        <v>-24.34466163243027</v>
      </c>
    </row>
    <row r="261" spans="1:15" hidden="1" x14ac:dyDescent="0.35">
      <c r="A261" t="s">
        <v>23</v>
      </c>
      <c r="B261" t="s">
        <v>299</v>
      </c>
      <c r="C261" t="s">
        <v>317</v>
      </c>
      <c r="D261" t="s">
        <v>318</v>
      </c>
      <c r="E261">
        <v>10</v>
      </c>
      <c r="F261" t="s">
        <v>318</v>
      </c>
      <c r="G261" t="s">
        <v>68</v>
      </c>
      <c r="H261">
        <v>0.25</v>
      </c>
      <c r="J261">
        <v>-2525.1057890613988</v>
      </c>
      <c r="K261">
        <v>1.7000000000000001E-2</v>
      </c>
      <c r="L261">
        <v>1.4142135623730949</v>
      </c>
      <c r="M261" t="s">
        <v>353</v>
      </c>
      <c r="N261">
        <v>1.202081528017131E-2</v>
      </c>
      <c r="O261">
        <v>-30.3538302531983</v>
      </c>
    </row>
    <row r="262" spans="1:15" hidden="1" x14ac:dyDescent="0.35">
      <c r="A262" t="s">
        <v>23</v>
      </c>
      <c r="B262" t="s">
        <v>299</v>
      </c>
      <c r="C262" t="s">
        <v>317</v>
      </c>
      <c r="D262" t="s">
        <v>318</v>
      </c>
      <c r="E262">
        <v>11</v>
      </c>
      <c r="F262" t="s">
        <v>318</v>
      </c>
      <c r="G262" t="s">
        <v>70</v>
      </c>
      <c r="H262">
        <v>0.25</v>
      </c>
      <c r="J262">
        <v>-2938.4130637595258</v>
      </c>
      <c r="K262">
        <v>1.7000000000000001E-2</v>
      </c>
      <c r="L262">
        <v>1.4142135623730949</v>
      </c>
      <c r="M262" t="s">
        <v>353</v>
      </c>
      <c r="N262">
        <v>1.202081528017131E-2</v>
      </c>
      <c r="O262">
        <v>-35.322120656295503</v>
      </c>
    </row>
    <row r="263" spans="1:15" hidden="1" x14ac:dyDescent="0.35">
      <c r="A263" t="s">
        <v>23</v>
      </c>
      <c r="B263" t="s">
        <v>299</v>
      </c>
      <c r="C263" t="s">
        <v>317</v>
      </c>
      <c r="D263" t="s">
        <v>318</v>
      </c>
      <c r="E263">
        <v>12</v>
      </c>
      <c r="F263" t="s">
        <v>318</v>
      </c>
      <c r="G263" t="s">
        <v>95</v>
      </c>
      <c r="H263">
        <v>0.25</v>
      </c>
      <c r="J263">
        <v>-2062.8233771162741</v>
      </c>
      <c r="K263">
        <v>1.7000000000000001E-2</v>
      </c>
      <c r="L263">
        <v>1.4142135623730949</v>
      </c>
      <c r="M263" t="s">
        <v>353</v>
      </c>
      <c r="N263">
        <v>1.202081528017131E-2</v>
      </c>
      <c r="O263">
        <v>-24.796818771933889</v>
      </c>
    </row>
    <row r="264" spans="1:15" hidden="1" x14ac:dyDescent="0.35">
      <c r="A264" t="s">
        <v>23</v>
      </c>
      <c r="B264" t="s">
        <v>299</v>
      </c>
      <c r="C264" t="s">
        <v>317</v>
      </c>
      <c r="D264" t="s">
        <v>318</v>
      </c>
      <c r="E264">
        <v>13</v>
      </c>
      <c r="F264" t="s">
        <v>318</v>
      </c>
      <c r="G264" t="s">
        <v>146</v>
      </c>
      <c r="H264">
        <v>0.25</v>
      </c>
      <c r="J264">
        <v>-1784.4606872472471</v>
      </c>
      <c r="K264">
        <v>1.7000000000000001E-2</v>
      </c>
      <c r="L264">
        <v>1.4142135623730949</v>
      </c>
      <c r="M264" t="s">
        <v>353</v>
      </c>
      <c r="N264">
        <v>1.202081528017131E-2</v>
      </c>
      <c r="O264">
        <v>-21.450672296126701</v>
      </c>
    </row>
    <row r="265" spans="1:15" hidden="1" x14ac:dyDescent="0.35">
      <c r="A265" t="s">
        <v>23</v>
      </c>
      <c r="B265" t="s">
        <v>299</v>
      </c>
      <c r="C265" t="s">
        <v>317</v>
      </c>
      <c r="D265" t="s">
        <v>318</v>
      </c>
      <c r="E265">
        <v>14</v>
      </c>
      <c r="F265" t="s">
        <v>318</v>
      </c>
      <c r="G265" t="s">
        <v>119</v>
      </c>
      <c r="H265">
        <v>0.25</v>
      </c>
      <c r="J265">
        <v>-1833.855063239298</v>
      </c>
      <c r="K265">
        <v>1.7000000000000001E-2</v>
      </c>
      <c r="L265">
        <v>1.4142135623730949</v>
      </c>
      <c r="M265" t="s">
        <v>353</v>
      </c>
      <c r="N265">
        <v>1.202081528017131E-2</v>
      </c>
      <c r="O265">
        <v>-22.044432965806479</v>
      </c>
    </row>
    <row r="266" spans="1:15" hidden="1" x14ac:dyDescent="0.35">
      <c r="A266" t="s">
        <v>23</v>
      </c>
      <c r="B266" t="s">
        <v>299</v>
      </c>
      <c r="C266" t="s">
        <v>317</v>
      </c>
      <c r="D266" t="s">
        <v>318</v>
      </c>
      <c r="E266">
        <v>15</v>
      </c>
      <c r="F266" t="s">
        <v>318</v>
      </c>
      <c r="G266" t="s">
        <v>121</v>
      </c>
      <c r="H266">
        <v>0.25</v>
      </c>
      <c r="J266">
        <v>-1595.840181835229</v>
      </c>
      <c r="K266">
        <v>1.7000000000000001E-2</v>
      </c>
      <c r="L266">
        <v>1.4142135623730949</v>
      </c>
      <c r="M266" t="s">
        <v>353</v>
      </c>
      <c r="N266">
        <v>1.202081528017131E-2</v>
      </c>
      <c r="O266">
        <v>-19.183300042516279</v>
      </c>
    </row>
    <row r="267" spans="1:15" hidden="1" x14ac:dyDescent="0.35">
      <c r="A267" t="s">
        <v>23</v>
      </c>
      <c r="B267" t="s">
        <v>299</v>
      </c>
      <c r="C267" t="s">
        <v>317</v>
      </c>
      <c r="D267" t="s">
        <v>318</v>
      </c>
      <c r="E267">
        <v>16</v>
      </c>
      <c r="F267" t="s">
        <v>318</v>
      </c>
      <c r="G267" t="s">
        <v>97</v>
      </c>
      <c r="H267">
        <v>0.25</v>
      </c>
      <c r="J267">
        <v>-2474.0593374303899</v>
      </c>
      <c r="K267">
        <v>1.7000000000000001E-2</v>
      </c>
      <c r="L267">
        <v>1.4142135623730949</v>
      </c>
      <c r="M267" t="s">
        <v>353</v>
      </c>
      <c r="N267">
        <v>1.202081528017131E-2</v>
      </c>
      <c r="O267">
        <v>-29.74021028743374</v>
      </c>
    </row>
    <row r="268" spans="1:15" hidden="1" x14ac:dyDescent="0.35">
      <c r="A268" t="s">
        <v>23</v>
      </c>
      <c r="B268" t="s">
        <v>299</v>
      </c>
      <c r="C268" t="s">
        <v>317</v>
      </c>
      <c r="D268" t="s">
        <v>318</v>
      </c>
      <c r="E268">
        <v>17</v>
      </c>
      <c r="F268" t="s">
        <v>318</v>
      </c>
      <c r="G268" t="s">
        <v>56</v>
      </c>
      <c r="H268">
        <v>0.25</v>
      </c>
      <c r="J268">
        <v>-3115.6726797689771</v>
      </c>
      <c r="K268">
        <v>1.7000000000000001E-2</v>
      </c>
      <c r="L268">
        <v>1.4142135623730949</v>
      </c>
      <c r="M268" t="s">
        <v>353</v>
      </c>
      <c r="N268">
        <v>1.202081528017131E-2</v>
      </c>
      <c r="O268">
        <v>-37.452925756979212</v>
      </c>
    </row>
    <row r="269" spans="1:15" hidden="1" x14ac:dyDescent="0.35">
      <c r="A269" t="s">
        <v>23</v>
      </c>
      <c r="B269" t="s">
        <v>299</v>
      </c>
      <c r="C269" t="s">
        <v>317</v>
      </c>
      <c r="D269" t="s">
        <v>318</v>
      </c>
      <c r="E269">
        <v>18</v>
      </c>
      <c r="F269" t="s">
        <v>318</v>
      </c>
      <c r="G269" t="s">
        <v>72</v>
      </c>
      <c r="H269">
        <v>0.25</v>
      </c>
      <c r="J269">
        <v>-3623.861249650417</v>
      </c>
      <c r="K269">
        <v>1.7000000000000001E-2</v>
      </c>
      <c r="L269">
        <v>1.4142135623730949</v>
      </c>
      <c r="M269" t="s">
        <v>353</v>
      </c>
      <c r="N269">
        <v>1.202081528017131E-2</v>
      </c>
      <c r="O269">
        <v>-43.561766683018433</v>
      </c>
    </row>
    <row r="270" spans="1:15" hidden="1" x14ac:dyDescent="0.35">
      <c r="A270" t="s">
        <v>23</v>
      </c>
      <c r="B270" t="s">
        <v>299</v>
      </c>
      <c r="C270" t="s">
        <v>317</v>
      </c>
      <c r="D270" t="s">
        <v>318</v>
      </c>
      <c r="E270">
        <v>19</v>
      </c>
      <c r="F270" t="s">
        <v>318</v>
      </c>
      <c r="G270" t="s">
        <v>123</v>
      </c>
      <c r="H270">
        <v>0.25</v>
      </c>
      <c r="J270">
        <v>-7450.2534679368182</v>
      </c>
      <c r="K270">
        <v>1.7000000000000001E-2</v>
      </c>
      <c r="L270">
        <v>1.4142135623730949</v>
      </c>
      <c r="M270" t="s">
        <v>353</v>
      </c>
      <c r="N270">
        <v>1.202081528017131E-2</v>
      </c>
      <c r="O270">
        <v>-89.558120728524202</v>
      </c>
    </row>
    <row r="271" spans="1:15" hidden="1" x14ac:dyDescent="0.35">
      <c r="A271" t="s">
        <v>23</v>
      </c>
      <c r="B271" t="s">
        <v>299</v>
      </c>
      <c r="C271" t="s">
        <v>317</v>
      </c>
      <c r="D271" t="s">
        <v>318</v>
      </c>
      <c r="E271">
        <v>20</v>
      </c>
      <c r="F271" t="s">
        <v>318</v>
      </c>
      <c r="G271" t="s">
        <v>58</v>
      </c>
      <c r="H271">
        <v>0.25</v>
      </c>
      <c r="J271">
        <v>-3303.474141318929</v>
      </c>
      <c r="K271">
        <v>1.7000000000000001E-2</v>
      </c>
      <c r="L271">
        <v>1.4142135623730949</v>
      </c>
      <c r="M271" t="s">
        <v>353</v>
      </c>
      <c r="N271">
        <v>1.202081528017131E-2</v>
      </c>
      <c r="O271">
        <v>-39.710452435617377</v>
      </c>
    </row>
    <row r="272" spans="1:15" hidden="1" x14ac:dyDescent="0.35">
      <c r="A272" t="s">
        <v>23</v>
      </c>
      <c r="B272" t="s">
        <v>299</v>
      </c>
      <c r="C272" t="s">
        <v>317</v>
      </c>
      <c r="D272" t="s">
        <v>318</v>
      </c>
      <c r="E272">
        <v>21</v>
      </c>
      <c r="F272" t="s">
        <v>318</v>
      </c>
      <c r="G272" t="s">
        <v>148</v>
      </c>
      <c r="H272">
        <v>0.25</v>
      </c>
      <c r="J272">
        <v>-1105.908805982381</v>
      </c>
      <c r="K272">
        <v>1.7000000000000001E-2</v>
      </c>
      <c r="L272">
        <v>1.4142135623730949</v>
      </c>
      <c r="M272" t="s">
        <v>353</v>
      </c>
      <c r="N272">
        <v>1.202081528017131E-2</v>
      </c>
      <c r="O272">
        <v>-13.29392547342901</v>
      </c>
    </row>
    <row r="273" spans="1:15" hidden="1" x14ac:dyDescent="0.35">
      <c r="A273" t="s">
        <v>23</v>
      </c>
      <c r="B273" t="s">
        <v>299</v>
      </c>
      <c r="C273" t="s">
        <v>317</v>
      </c>
      <c r="D273" t="s">
        <v>318</v>
      </c>
      <c r="E273">
        <v>22</v>
      </c>
      <c r="F273" t="s">
        <v>318</v>
      </c>
      <c r="G273" t="s">
        <v>74</v>
      </c>
      <c r="H273">
        <v>0.25</v>
      </c>
      <c r="J273">
        <v>-838.74030246988696</v>
      </c>
      <c r="K273">
        <v>1.7000000000000001E-2</v>
      </c>
      <c r="L273">
        <v>1.4142135623730949</v>
      </c>
      <c r="M273" t="s">
        <v>353</v>
      </c>
      <c r="N273">
        <v>1.202081528017131E-2</v>
      </c>
      <c r="O273">
        <v>-10.08234224402552</v>
      </c>
    </row>
    <row r="274" spans="1:15" hidden="1" x14ac:dyDescent="0.35">
      <c r="A274" t="s">
        <v>23</v>
      </c>
      <c r="B274" t="s">
        <v>299</v>
      </c>
      <c r="C274" t="s">
        <v>317</v>
      </c>
      <c r="D274" t="s">
        <v>318</v>
      </c>
      <c r="E274">
        <v>37</v>
      </c>
      <c r="F274" t="s">
        <v>318</v>
      </c>
      <c r="G274" t="s">
        <v>161</v>
      </c>
      <c r="H274">
        <v>0.25</v>
      </c>
      <c r="J274">
        <v>-357702.48033106333</v>
      </c>
      <c r="K274">
        <v>1.7000000000000001E-2</v>
      </c>
      <c r="L274">
        <v>1.4142135623730949</v>
      </c>
      <c r="M274" t="s">
        <v>353</v>
      </c>
      <c r="N274">
        <v>1.202081528017131E-2</v>
      </c>
      <c r="O274">
        <v>-4299.8754413188244</v>
      </c>
    </row>
    <row r="275" spans="1:15" hidden="1" x14ac:dyDescent="0.35">
      <c r="A275" t="s">
        <v>23</v>
      </c>
      <c r="B275" t="s">
        <v>299</v>
      </c>
      <c r="C275" t="s">
        <v>317</v>
      </c>
      <c r="D275" t="s">
        <v>318</v>
      </c>
      <c r="E275">
        <v>38</v>
      </c>
      <c r="F275" t="s">
        <v>318</v>
      </c>
      <c r="G275" t="s">
        <v>215</v>
      </c>
      <c r="H275">
        <v>0.25</v>
      </c>
      <c r="J275">
        <v>-106776.99826657771</v>
      </c>
      <c r="K275">
        <v>1.7000000000000001E-2</v>
      </c>
      <c r="L275">
        <v>1.4142135623730949</v>
      </c>
      <c r="M275" t="s">
        <v>353</v>
      </c>
      <c r="N275">
        <v>1.202081528017131E-2</v>
      </c>
      <c r="O275">
        <v>-1283.5465723337029</v>
      </c>
    </row>
    <row r="276" spans="1:15" hidden="1" x14ac:dyDescent="0.35">
      <c r="A276" t="s">
        <v>23</v>
      </c>
      <c r="B276" t="s">
        <v>299</v>
      </c>
      <c r="C276" t="s">
        <v>317</v>
      </c>
      <c r="D276" t="s">
        <v>318</v>
      </c>
      <c r="E276">
        <v>39</v>
      </c>
      <c r="F276" t="s">
        <v>318</v>
      </c>
      <c r="G276" t="s">
        <v>217</v>
      </c>
      <c r="H276">
        <v>0.25</v>
      </c>
      <c r="J276">
        <v>35592.332761734717</v>
      </c>
      <c r="K276">
        <v>1.7000000000000001E-2</v>
      </c>
      <c r="L276">
        <v>1.4142135623730949</v>
      </c>
      <c r="M276" t="s">
        <v>353</v>
      </c>
      <c r="N276">
        <v>1.202081528017131E-2</v>
      </c>
      <c r="O276">
        <v>427.84885751920262</v>
      </c>
    </row>
    <row r="277" spans="1:15" hidden="1" x14ac:dyDescent="0.35">
      <c r="A277" t="s">
        <v>23</v>
      </c>
      <c r="B277" t="s">
        <v>299</v>
      </c>
      <c r="C277" t="s">
        <v>317</v>
      </c>
      <c r="D277" t="s">
        <v>318</v>
      </c>
      <c r="E277">
        <v>40</v>
      </c>
      <c r="F277" t="s">
        <v>318</v>
      </c>
      <c r="G277" t="s">
        <v>168</v>
      </c>
      <c r="H277">
        <v>0.25</v>
      </c>
      <c r="J277">
        <v>-297614.85606431961</v>
      </c>
      <c r="K277">
        <v>1.7000000000000001E-2</v>
      </c>
      <c r="L277">
        <v>1.4142135623730949</v>
      </c>
      <c r="M277" t="s">
        <v>353</v>
      </c>
      <c r="N277">
        <v>1.202081528017131E-2</v>
      </c>
      <c r="O277">
        <v>-3577.5732093839579</v>
      </c>
    </row>
    <row r="278" spans="1:15" hidden="1" x14ac:dyDescent="0.35">
      <c r="A278" t="s">
        <v>23</v>
      </c>
      <c r="B278" t="s">
        <v>299</v>
      </c>
      <c r="C278" t="s">
        <v>317</v>
      </c>
      <c r="D278" t="s">
        <v>318</v>
      </c>
      <c r="E278">
        <v>41</v>
      </c>
      <c r="F278" t="s">
        <v>318</v>
      </c>
      <c r="G278" t="s">
        <v>170</v>
      </c>
      <c r="H278">
        <v>0.25</v>
      </c>
      <c r="J278">
        <v>-23763.628974556919</v>
      </c>
      <c r="K278">
        <v>1.7000000000000001E-2</v>
      </c>
      <c r="L278">
        <v>1.4142135623730949</v>
      </c>
      <c r="M278" t="s">
        <v>353</v>
      </c>
      <c r="N278">
        <v>1.202081528017131E-2</v>
      </c>
      <c r="O278">
        <v>-285.65819428967552</v>
      </c>
    </row>
    <row r="279" spans="1:15" hidden="1" x14ac:dyDescent="0.35">
      <c r="A279" t="s">
        <v>23</v>
      </c>
      <c r="B279" t="s">
        <v>299</v>
      </c>
      <c r="C279" t="s">
        <v>317</v>
      </c>
      <c r="D279" t="s">
        <v>318</v>
      </c>
      <c r="E279">
        <v>42</v>
      </c>
      <c r="F279" t="s">
        <v>318</v>
      </c>
      <c r="G279" t="s">
        <v>226</v>
      </c>
      <c r="H279">
        <v>0.25</v>
      </c>
      <c r="J279">
        <v>-44406.426716595888</v>
      </c>
      <c r="K279">
        <v>1.7000000000000001E-2</v>
      </c>
      <c r="L279">
        <v>1.4142135623730949</v>
      </c>
      <c r="M279" t="s">
        <v>353</v>
      </c>
      <c r="N279">
        <v>1.202081528017131E-2</v>
      </c>
      <c r="O279">
        <v>-533.80145281266334</v>
      </c>
    </row>
    <row r="280" spans="1:15" hidden="1" x14ac:dyDescent="0.35">
      <c r="A280" t="s">
        <v>23</v>
      </c>
      <c r="B280" t="s">
        <v>299</v>
      </c>
      <c r="C280" t="s">
        <v>317</v>
      </c>
      <c r="D280" t="s">
        <v>318</v>
      </c>
      <c r="E280">
        <v>43</v>
      </c>
      <c r="F280" t="s">
        <v>318</v>
      </c>
      <c r="G280" t="s">
        <v>206</v>
      </c>
      <c r="H280">
        <v>0.25</v>
      </c>
      <c r="J280">
        <v>-2747809.217870235</v>
      </c>
      <c r="K280">
        <v>1.7000000000000001E-2</v>
      </c>
      <c r="L280">
        <v>1.4142135623730949</v>
      </c>
      <c r="M280" t="s">
        <v>353</v>
      </c>
      <c r="N280">
        <v>1.202081528017131E-2</v>
      </c>
      <c r="O280">
        <v>-33030.9070331701</v>
      </c>
    </row>
    <row r="281" spans="1:15" hidden="1" x14ac:dyDescent="0.35">
      <c r="A281" t="s">
        <v>23</v>
      </c>
      <c r="B281" t="s">
        <v>299</v>
      </c>
      <c r="C281" t="s">
        <v>317</v>
      </c>
      <c r="D281" t="s">
        <v>318</v>
      </c>
      <c r="E281">
        <v>44</v>
      </c>
      <c r="F281" t="s">
        <v>318</v>
      </c>
      <c r="G281" t="s">
        <v>260</v>
      </c>
      <c r="H281">
        <v>0.25</v>
      </c>
      <c r="J281">
        <v>-127647.4183797836</v>
      </c>
      <c r="K281">
        <v>1.7000000000000001E-2</v>
      </c>
      <c r="L281">
        <v>1.4142135623730949</v>
      </c>
      <c r="M281" t="s">
        <v>353</v>
      </c>
      <c r="N281">
        <v>1.202081528017131E-2</v>
      </c>
      <c r="O281">
        <v>-1534.4260373341231</v>
      </c>
    </row>
    <row r="282" spans="1:15" hidden="1" x14ac:dyDescent="0.35">
      <c r="A282" t="s">
        <v>23</v>
      </c>
      <c r="B282" t="s">
        <v>299</v>
      </c>
      <c r="C282" t="s">
        <v>317</v>
      </c>
      <c r="D282" t="s">
        <v>318</v>
      </c>
      <c r="E282">
        <v>45</v>
      </c>
      <c r="F282" t="s">
        <v>318</v>
      </c>
      <c r="G282" t="s">
        <v>262</v>
      </c>
      <c r="H282">
        <v>0.25</v>
      </c>
      <c r="J282">
        <v>-56732.185930013657</v>
      </c>
      <c r="K282">
        <v>1.7000000000000001E-2</v>
      </c>
      <c r="L282">
        <v>1.4142135623730949</v>
      </c>
      <c r="M282" t="s">
        <v>353</v>
      </c>
      <c r="N282">
        <v>1.202081528017131E-2</v>
      </c>
      <c r="O282">
        <v>-681.96712750502797</v>
      </c>
    </row>
    <row r="283" spans="1:15" hidden="1" x14ac:dyDescent="0.35">
      <c r="A283" t="s">
        <v>23</v>
      </c>
      <c r="B283" t="s">
        <v>299</v>
      </c>
      <c r="C283" t="s">
        <v>317</v>
      </c>
      <c r="D283" t="s">
        <v>318</v>
      </c>
      <c r="E283">
        <v>46</v>
      </c>
      <c r="F283" t="s">
        <v>318</v>
      </c>
      <c r="G283" t="s">
        <v>185</v>
      </c>
      <c r="H283">
        <v>0.25</v>
      </c>
      <c r="J283">
        <v>-894803.73084545135</v>
      </c>
      <c r="K283">
        <v>1.7000000000000001E-2</v>
      </c>
      <c r="L283">
        <v>1.4142135623730949</v>
      </c>
      <c r="M283" t="s">
        <v>353</v>
      </c>
      <c r="N283">
        <v>1.202081528017131E-2</v>
      </c>
      <c r="O283">
        <v>-10756.270360501299</v>
      </c>
    </row>
    <row r="284" spans="1:15" hidden="1" x14ac:dyDescent="0.35">
      <c r="A284" t="s">
        <v>23</v>
      </c>
      <c r="B284" t="s">
        <v>299</v>
      </c>
      <c r="C284" t="s">
        <v>317</v>
      </c>
      <c r="D284" t="s">
        <v>318</v>
      </c>
      <c r="E284">
        <v>47</v>
      </c>
      <c r="F284" t="s">
        <v>318</v>
      </c>
      <c r="G284" t="s">
        <v>187</v>
      </c>
      <c r="H284">
        <v>0.25</v>
      </c>
      <c r="J284">
        <v>-452566.81084632868</v>
      </c>
      <c r="K284">
        <v>1.7000000000000001E-2</v>
      </c>
      <c r="L284">
        <v>1.4142135623730949</v>
      </c>
      <c r="M284" t="s">
        <v>353</v>
      </c>
      <c r="N284">
        <v>1.202081528017131E-2</v>
      </c>
      <c r="O284">
        <v>-5440.2220351199467</v>
      </c>
    </row>
    <row r="285" spans="1:15" hidden="1" x14ac:dyDescent="0.35">
      <c r="A285" t="s">
        <v>23</v>
      </c>
      <c r="B285" t="s">
        <v>299</v>
      </c>
      <c r="C285" t="s">
        <v>317</v>
      </c>
      <c r="D285" t="s">
        <v>318</v>
      </c>
      <c r="E285">
        <v>48</v>
      </c>
      <c r="F285" t="s">
        <v>318</v>
      </c>
      <c r="G285" t="s">
        <v>237</v>
      </c>
      <c r="H285">
        <v>0.25</v>
      </c>
      <c r="J285">
        <v>-60287.59703040123</v>
      </c>
      <c r="K285">
        <v>1.7000000000000001E-2</v>
      </c>
      <c r="L285">
        <v>1.4142135623730949</v>
      </c>
      <c r="M285" t="s">
        <v>353</v>
      </c>
      <c r="N285">
        <v>1.202081528017131E-2</v>
      </c>
      <c r="O285">
        <v>-724.70606758785766</v>
      </c>
    </row>
    <row r="286" spans="1:15" hidden="1" x14ac:dyDescent="0.35">
      <c r="A286" t="s">
        <v>23</v>
      </c>
      <c r="B286" t="s">
        <v>299</v>
      </c>
      <c r="C286" t="s">
        <v>317</v>
      </c>
      <c r="D286" t="s">
        <v>318</v>
      </c>
      <c r="E286">
        <v>49</v>
      </c>
      <c r="F286" t="s">
        <v>318</v>
      </c>
      <c r="G286" t="s">
        <v>239</v>
      </c>
      <c r="H286">
        <v>0.25</v>
      </c>
      <c r="J286">
        <v>-33046.831749379628</v>
      </c>
      <c r="K286">
        <v>1.7000000000000001E-2</v>
      </c>
      <c r="L286">
        <v>1.4142135623730949</v>
      </c>
      <c r="M286" t="s">
        <v>353</v>
      </c>
      <c r="N286">
        <v>1.202081528017131E-2</v>
      </c>
      <c r="O286">
        <v>-397.24986005419311</v>
      </c>
    </row>
    <row r="287" spans="1:15" hidden="1" x14ac:dyDescent="0.35">
      <c r="A287" t="s">
        <v>23</v>
      </c>
      <c r="B287" t="s">
        <v>299</v>
      </c>
      <c r="C287" t="s">
        <v>317</v>
      </c>
      <c r="D287" t="s">
        <v>318</v>
      </c>
      <c r="E287">
        <v>50</v>
      </c>
      <c r="F287" t="s">
        <v>318</v>
      </c>
      <c r="G287" t="s">
        <v>197</v>
      </c>
      <c r="H287">
        <v>0.25</v>
      </c>
      <c r="J287">
        <v>-1305942.093282938</v>
      </c>
      <c r="K287">
        <v>1.7000000000000001E-2</v>
      </c>
      <c r="L287">
        <v>1.4142135623730949</v>
      </c>
      <c r="M287" t="s">
        <v>353</v>
      </c>
      <c r="N287">
        <v>1.202081528017131E-2</v>
      </c>
      <c r="O287">
        <v>-15698.48866995445</v>
      </c>
    </row>
    <row r="288" spans="1:15" hidden="1" x14ac:dyDescent="0.35">
      <c r="A288" t="s">
        <v>23</v>
      </c>
      <c r="B288" t="s">
        <v>299</v>
      </c>
      <c r="C288" t="s">
        <v>317</v>
      </c>
      <c r="D288" t="s">
        <v>318</v>
      </c>
      <c r="E288">
        <v>51</v>
      </c>
      <c r="F288" t="s">
        <v>318</v>
      </c>
      <c r="G288" t="s">
        <v>251</v>
      </c>
      <c r="H288">
        <v>0.25</v>
      </c>
      <c r="J288">
        <v>195466.23170375821</v>
      </c>
      <c r="K288">
        <v>1.7000000000000001E-2</v>
      </c>
      <c r="L288">
        <v>1.4142135623730949</v>
      </c>
      <c r="M288" t="s">
        <v>353</v>
      </c>
      <c r="N288">
        <v>1.202081528017131E-2</v>
      </c>
      <c r="O288">
        <v>2349.663464822042</v>
      </c>
    </row>
    <row r="289" spans="1:15" hidden="1" x14ac:dyDescent="0.35">
      <c r="A289" t="s">
        <v>23</v>
      </c>
      <c r="B289" t="s">
        <v>299</v>
      </c>
      <c r="C289" t="s">
        <v>317</v>
      </c>
      <c r="D289" t="s">
        <v>318</v>
      </c>
      <c r="E289">
        <v>53</v>
      </c>
      <c r="F289" t="s">
        <v>318</v>
      </c>
      <c r="G289" t="s">
        <v>354</v>
      </c>
      <c r="H289">
        <v>0.25</v>
      </c>
      <c r="J289">
        <v>88110.064382362907</v>
      </c>
      <c r="K289">
        <v>1.7000000000000001E-2</v>
      </c>
      <c r="L289">
        <v>1.4142135623730949</v>
      </c>
      <c r="M289" t="s">
        <v>353</v>
      </c>
      <c r="N289">
        <v>1.202081528017131E-2</v>
      </c>
      <c r="O289">
        <v>1059.154808264386</v>
      </c>
    </row>
    <row r="290" spans="1:15" hidden="1" x14ac:dyDescent="0.35">
      <c r="A290" t="s">
        <v>23</v>
      </c>
      <c r="B290" t="s">
        <v>299</v>
      </c>
      <c r="C290" t="s">
        <v>317</v>
      </c>
      <c r="D290" t="s">
        <v>318</v>
      </c>
      <c r="E290">
        <v>55</v>
      </c>
      <c r="F290" t="s">
        <v>318</v>
      </c>
      <c r="G290" t="s">
        <v>355</v>
      </c>
      <c r="H290">
        <v>0.25</v>
      </c>
      <c r="J290">
        <v>52520.508965869791</v>
      </c>
      <c r="K290">
        <v>1.7000000000000001E-2</v>
      </c>
      <c r="L290">
        <v>1.4142135623730949</v>
      </c>
      <c r="M290" t="s">
        <v>353</v>
      </c>
      <c r="N290">
        <v>1.202081528017131E-2</v>
      </c>
      <c r="O290">
        <v>631.33933669930184</v>
      </c>
    </row>
    <row r="291" spans="1:15" hidden="1" x14ac:dyDescent="0.35">
      <c r="A291" t="s">
        <v>23</v>
      </c>
      <c r="B291" t="s">
        <v>299</v>
      </c>
      <c r="C291" t="s">
        <v>317</v>
      </c>
      <c r="D291" t="s">
        <v>318</v>
      </c>
      <c r="E291">
        <v>57</v>
      </c>
      <c r="F291" t="s">
        <v>318</v>
      </c>
      <c r="G291" t="s">
        <v>356</v>
      </c>
      <c r="H291">
        <v>0.25</v>
      </c>
      <c r="J291">
        <v>32025.414867575819</v>
      </c>
      <c r="K291">
        <v>1.7000000000000001E-2</v>
      </c>
      <c r="L291">
        <v>1.4142135623730949</v>
      </c>
      <c r="M291" t="s">
        <v>353</v>
      </c>
      <c r="N291">
        <v>1.202081528017131E-2</v>
      </c>
      <c r="O291">
        <v>384.97159639398092</v>
      </c>
    </row>
    <row r="292" spans="1:15" hidden="1" x14ac:dyDescent="0.35">
      <c r="A292" t="s">
        <v>23</v>
      </c>
      <c r="B292" t="s">
        <v>299</v>
      </c>
      <c r="C292" t="s">
        <v>317</v>
      </c>
      <c r="D292" t="s">
        <v>318</v>
      </c>
      <c r="E292">
        <v>58</v>
      </c>
      <c r="F292" t="s">
        <v>318</v>
      </c>
      <c r="G292" t="s">
        <v>357</v>
      </c>
      <c r="H292">
        <v>0.25</v>
      </c>
      <c r="J292">
        <v>-36925.98122029267</v>
      </c>
      <c r="K292">
        <v>1.7000000000000001E-2</v>
      </c>
      <c r="L292">
        <v>1.4142135623730949</v>
      </c>
      <c r="M292" t="s">
        <v>353</v>
      </c>
      <c r="N292">
        <v>1.202081528017131E-2</v>
      </c>
      <c r="O292">
        <v>-443.88039928821303</v>
      </c>
    </row>
    <row r="293" spans="1:15" hidden="1" x14ac:dyDescent="0.35">
      <c r="A293" t="s">
        <v>23</v>
      </c>
      <c r="B293" t="s">
        <v>299</v>
      </c>
      <c r="C293" t="s">
        <v>317</v>
      </c>
      <c r="D293" t="s">
        <v>320</v>
      </c>
      <c r="E293">
        <v>2</v>
      </c>
      <c r="F293" t="s">
        <v>320</v>
      </c>
      <c r="G293" t="s">
        <v>319</v>
      </c>
      <c r="H293">
        <v>0.5</v>
      </c>
      <c r="J293">
        <v>-15589.173076904221</v>
      </c>
      <c r="K293">
        <v>1.7000000000000001E-2</v>
      </c>
      <c r="L293">
        <v>1.4142135623730949</v>
      </c>
      <c r="M293" t="s">
        <v>353</v>
      </c>
      <c r="N293">
        <v>1.202081528017131E-2</v>
      </c>
      <c r="O293">
        <v>-187.39456992808539</v>
      </c>
    </row>
    <row r="294" spans="1:15" hidden="1" x14ac:dyDescent="0.35">
      <c r="A294" t="s">
        <v>23</v>
      </c>
      <c r="B294" t="s">
        <v>299</v>
      </c>
      <c r="C294" t="s">
        <v>317</v>
      </c>
      <c r="D294" t="s">
        <v>320</v>
      </c>
      <c r="E294">
        <v>3</v>
      </c>
      <c r="F294" t="s">
        <v>320</v>
      </c>
      <c r="G294" t="s">
        <v>113</v>
      </c>
      <c r="H294">
        <v>0.5</v>
      </c>
      <c r="J294">
        <v>-4877.3369955483759</v>
      </c>
      <c r="K294">
        <v>1.7000000000000001E-2</v>
      </c>
      <c r="L294">
        <v>1.4142135623730949</v>
      </c>
      <c r="M294" t="s">
        <v>353</v>
      </c>
      <c r="N294">
        <v>1.202081528017131E-2</v>
      </c>
      <c r="O294">
        <v>-58.629567082632747</v>
      </c>
    </row>
    <row r="295" spans="1:15" hidden="1" x14ac:dyDescent="0.35">
      <c r="A295" t="s">
        <v>23</v>
      </c>
      <c r="B295" t="s">
        <v>299</v>
      </c>
      <c r="C295" t="s">
        <v>317</v>
      </c>
      <c r="D295" t="s">
        <v>320</v>
      </c>
      <c r="E295">
        <v>4</v>
      </c>
      <c r="F295" t="s">
        <v>320</v>
      </c>
      <c r="G295" t="s">
        <v>115</v>
      </c>
      <c r="H295">
        <v>0.5</v>
      </c>
      <c r="J295">
        <v>-6319.9143413612546</v>
      </c>
      <c r="K295">
        <v>1.7000000000000001E-2</v>
      </c>
      <c r="L295">
        <v>1.4142135623730949</v>
      </c>
      <c r="M295" t="s">
        <v>353</v>
      </c>
      <c r="N295">
        <v>1.202081528017131E-2</v>
      </c>
      <c r="O295">
        <v>-75.970522884009171</v>
      </c>
    </row>
    <row r="296" spans="1:15" hidden="1" x14ac:dyDescent="0.35">
      <c r="A296" t="s">
        <v>23</v>
      </c>
      <c r="B296" t="s">
        <v>299</v>
      </c>
      <c r="C296" t="s">
        <v>317</v>
      </c>
      <c r="D296" t="s">
        <v>320</v>
      </c>
      <c r="E296">
        <v>5</v>
      </c>
      <c r="F296" t="s">
        <v>320</v>
      </c>
      <c r="G296" t="s">
        <v>54</v>
      </c>
      <c r="H296">
        <v>0.5</v>
      </c>
      <c r="J296">
        <v>-127955.0664683597</v>
      </c>
      <c r="K296">
        <v>1.7000000000000001E-2</v>
      </c>
      <c r="L296">
        <v>1.4142135623730949</v>
      </c>
      <c r="M296" t="s">
        <v>353</v>
      </c>
      <c r="N296">
        <v>1.202081528017131E-2</v>
      </c>
      <c r="O296">
        <v>-1538.124218178194</v>
      </c>
    </row>
    <row r="297" spans="1:15" hidden="1" x14ac:dyDescent="0.35">
      <c r="A297" t="s">
        <v>23</v>
      </c>
      <c r="B297" t="s">
        <v>299</v>
      </c>
      <c r="C297" t="s">
        <v>317</v>
      </c>
      <c r="D297" t="s">
        <v>320</v>
      </c>
      <c r="E297">
        <v>6</v>
      </c>
      <c r="F297" t="s">
        <v>320</v>
      </c>
      <c r="G297" t="s">
        <v>117</v>
      </c>
      <c r="H297">
        <v>0.5</v>
      </c>
      <c r="J297">
        <v>-11896.64808214275</v>
      </c>
      <c r="K297">
        <v>1.7000000000000001E-2</v>
      </c>
      <c r="L297">
        <v>1.4142135623730949</v>
      </c>
      <c r="M297" t="s">
        <v>353</v>
      </c>
      <c r="N297">
        <v>1.202081528017131E-2</v>
      </c>
      <c r="O297">
        <v>-143.0074090486423</v>
      </c>
    </row>
    <row r="298" spans="1:15" hidden="1" x14ac:dyDescent="0.35">
      <c r="A298" t="s">
        <v>23</v>
      </c>
      <c r="B298" t="s">
        <v>299</v>
      </c>
      <c r="C298" t="s">
        <v>317</v>
      </c>
      <c r="D298" t="s">
        <v>320</v>
      </c>
      <c r="E298">
        <v>7</v>
      </c>
      <c r="F298" t="s">
        <v>320</v>
      </c>
      <c r="G298" t="s">
        <v>144</v>
      </c>
      <c r="H298">
        <v>0.5</v>
      </c>
      <c r="J298">
        <v>-9222.7817356729247</v>
      </c>
      <c r="K298">
        <v>1.7000000000000001E-2</v>
      </c>
      <c r="L298">
        <v>1.4142135623730949</v>
      </c>
      <c r="M298" t="s">
        <v>353</v>
      </c>
      <c r="N298">
        <v>1.202081528017131E-2</v>
      </c>
      <c r="O298">
        <v>-110.86535561386199</v>
      </c>
    </row>
    <row r="299" spans="1:15" hidden="1" x14ac:dyDescent="0.35">
      <c r="A299" t="s">
        <v>23</v>
      </c>
      <c r="B299" t="s">
        <v>299</v>
      </c>
      <c r="C299" t="s">
        <v>317</v>
      </c>
      <c r="D299" t="s">
        <v>320</v>
      </c>
      <c r="E299">
        <v>8</v>
      </c>
      <c r="F299" t="s">
        <v>320</v>
      </c>
      <c r="G299" t="s">
        <v>93</v>
      </c>
      <c r="H299">
        <v>0.5</v>
      </c>
      <c r="J299">
        <v>-7046.9080166049034</v>
      </c>
      <c r="K299">
        <v>1.7000000000000001E-2</v>
      </c>
      <c r="L299">
        <v>1.4142135623730949</v>
      </c>
      <c r="M299" t="s">
        <v>353</v>
      </c>
      <c r="N299">
        <v>1.202081528017131E-2</v>
      </c>
      <c r="O299">
        <v>-84.709579563965931</v>
      </c>
    </row>
    <row r="300" spans="1:15" hidden="1" x14ac:dyDescent="0.35">
      <c r="A300" t="s">
        <v>23</v>
      </c>
      <c r="B300" t="s">
        <v>299</v>
      </c>
      <c r="C300" t="s">
        <v>317</v>
      </c>
      <c r="D300" t="s">
        <v>320</v>
      </c>
      <c r="E300">
        <v>9</v>
      </c>
      <c r="F300" t="s">
        <v>320</v>
      </c>
      <c r="G300" t="s">
        <v>66</v>
      </c>
      <c r="H300">
        <v>0.5</v>
      </c>
      <c r="J300">
        <v>-5826.2904114485536</v>
      </c>
      <c r="K300">
        <v>1.7000000000000001E-2</v>
      </c>
      <c r="L300">
        <v>1.4142135623730949</v>
      </c>
      <c r="M300" t="s">
        <v>353</v>
      </c>
      <c r="N300">
        <v>1.202081528017131E-2</v>
      </c>
      <c r="O300">
        <v>-70.036760804656367</v>
      </c>
    </row>
    <row r="301" spans="1:15" hidden="1" x14ac:dyDescent="0.35">
      <c r="A301" t="s">
        <v>23</v>
      </c>
      <c r="B301" t="s">
        <v>299</v>
      </c>
      <c r="C301" t="s">
        <v>317</v>
      </c>
      <c r="D301" t="s">
        <v>320</v>
      </c>
      <c r="E301">
        <v>10</v>
      </c>
      <c r="F301" t="s">
        <v>320</v>
      </c>
      <c r="G301" t="s">
        <v>68</v>
      </c>
      <c r="H301">
        <v>0.5</v>
      </c>
      <c r="J301">
        <v>-8078.1705980257357</v>
      </c>
      <c r="K301">
        <v>1.7000000000000001E-2</v>
      </c>
      <c r="L301">
        <v>1.4142135623730949</v>
      </c>
      <c r="M301" t="s">
        <v>353</v>
      </c>
      <c r="N301">
        <v>1.202081528017131E-2</v>
      </c>
      <c r="O301">
        <v>-97.106196560578383</v>
      </c>
    </row>
    <row r="302" spans="1:15" hidden="1" x14ac:dyDescent="0.35">
      <c r="A302" t="s">
        <v>23</v>
      </c>
      <c r="B302" t="s">
        <v>299</v>
      </c>
      <c r="C302" t="s">
        <v>317</v>
      </c>
      <c r="D302" t="s">
        <v>320</v>
      </c>
      <c r="E302">
        <v>11</v>
      </c>
      <c r="F302" t="s">
        <v>320</v>
      </c>
      <c r="G302" t="s">
        <v>70</v>
      </c>
      <c r="H302">
        <v>0.5</v>
      </c>
      <c r="J302">
        <v>-9192.5826918100029</v>
      </c>
      <c r="K302">
        <v>1.7000000000000001E-2</v>
      </c>
      <c r="L302">
        <v>1.4142135623730949</v>
      </c>
      <c r="M302" t="s">
        <v>353</v>
      </c>
      <c r="N302">
        <v>1.202081528017131E-2</v>
      </c>
      <c r="O302">
        <v>-110.502338485948</v>
      </c>
    </row>
    <row r="303" spans="1:15" hidden="1" x14ac:dyDescent="0.35">
      <c r="A303" t="s">
        <v>23</v>
      </c>
      <c r="B303" t="s">
        <v>299</v>
      </c>
      <c r="C303" t="s">
        <v>317</v>
      </c>
      <c r="D303" t="s">
        <v>320</v>
      </c>
      <c r="E303">
        <v>12</v>
      </c>
      <c r="F303" t="s">
        <v>320</v>
      </c>
      <c r="G303" t="s">
        <v>95</v>
      </c>
      <c r="H303">
        <v>0.5</v>
      </c>
      <c r="J303">
        <v>-5680.4427483712061</v>
      </c>
      <c r="K303">
        <v>1.7000000000000001E-2</v>
      </c>
      <c r="L303">
        <v>1.4142135623730949</v>
      </c>
      <c r="M303" t="s">
        <v>353</v>
      </c>
      <c r="N303">
        <v>1.202081528017131E-2</v>
      </c>
      <c r="O303">
        <v>-68.28355298775891</v>
      </c>
    </row>
    <row r="304" spans="1:15" hidden="1" x14ac:dyDescent="0.35">
      <c r="A304" t="s">
        <v>23</v>
      </c>
      <c r="B304" t="s">
        <v>299</v>
      </c>
      <c r="C304" t="s">
        <v>317</v>
      </c>
      <c r="D304" t="s">
        <v>320</v>
      </c>
      <c r="E304">
        <v>13</v>
      </c>
      <c r="F304" t="s">
        <v>320</v>
      </c>
      <c r="G304" t="s">
        <v>146</v>
      </c>
      <c r="H304">
        <v>0.5</v>
      </c>
      <c r="J304">
        <v>-91934.912565363891</v>
      </c>
      <c r="K304">
        <v>1.7000000000000001E-2</v>
      </c>
      <c r="L304">
        <v>1.4142135623730949</v>
      </c>
      <c r="M304" t="s">
        <v>353</v>
      </c>
      <c r="N304">
        <v>1.202081528017131E-2</v>
      </c>
      <c r="O304">
        <v>-1105.1326017469401</v>
      </c>
    </row>
    <row r="305" spans="1:15" hidden="1" x14ac:dyDescent="0.35">
      <c r="A305" t="s">
        <v>23</v>
      </c>
      <c r="B305" t="s">
        <v>299</v>
      </c>
      <c r="C305" t="s">
        <v>317</v>
      </c>
      <c r="D305" t="s">
        <v>320</v>
      </c>
      <c r="E305">
        <v>14</v>
      </c>
      <c r="F305" t="s">
        <v>320</v>
      </c>
      <c r="G305" t="s">
        <v>119</v>
      </c>
      <c r="H305">
        <v>0.5</v>
      </c>
      <c r="J305">
        <v>-5258.0431165552</v>
      </c>
      <c r="K305">
        <v>1.7000000000000001E-2</v>
      </c>
      <c r="L305">
        <v>1.4142135623730949</v>
      </c>
      <c r="M305" t="s">
        <v>353</v>
      </c>
      <c r="N305">
        <v>1.202081528017131E-2</v>
      </c>
      <c r="O305">
        <v>-63.205965039286333</v>
      </c>
    </row>
    <row r="306" spans="1:15" hidden="1" x14ac:dyDescent="0.35">
      <c r="A306" t="s">
        <v>23</v>
      </c>
      <c r="B306" t="s">
        <v>299</v>
      </c>
      <c r="C306" t="s">
        <v>317</v>
      </c>
      <c r="D306" t="s">
        <v>320</v>
      </c>
      <c r="E306">
        <v>15</v>
      </c>
      <c r="F306" t="s">
        <v>320</v>
      </c>
      <c r="G306" t="s">
        <v>121</v>
      </c>
      <c r="H306">
        <v>0.5</v>
      </c>
      <c r="J306">
        <v>-8513.6515313024574</v>
      </c>
      <c r="K306">
        <v>1.7000000000000001E-2</v>
      </c>
      <c r="L306">
        <v>1.4142135623730949</v>
      </c>
      <c r="M306" t="s">
        <v>353</v>
      </c>
      <c r="N306">
        <v>1.202081528017131E-2</v>
      </c>
      <c r="O306">
        <v>-102.34103241753439</v>
      </c>
    </row>
    <row r="307" spans="1:15" hidden="1" x14ac:dyDescent="0.35">
      <c r="A307" t="s">
        <v>23</v>
      </c>
      <c r="B307" t="s">
        <v>299</v>
      </c>
      <c r="C307" t="s">
        <v>317</v>
      </c>
      <c r="D307" t="s">
        <v>320</v>
      </c>
      <c r="E307">
        <v>16</v>
      </c>
      <c r="F307" t="s">
        <v>320</v>
      </c>
      <c r="G307" t="s">
        <v>97</v>
      </c>
      <c r="H307">
        <v>0.5</v>
      </c>
      <c r="J307">
        <v>-7288.5185608697611</v>
      </c>
      <c r="K307">
        <v>1.7000000000000001E-2</v>
      </c>
      <c r="L307">
        <v>1.4142135623730949</v>
      </c>
      <c r="M307" t="s">
        <v>353</v>
      </c>
      <c r="N307">
        <v>1.202081528017131E-2</v>
      </c>
      <c r="O307">
        <v>-87.613935286315439</v>
      </c>
    </row>
    <row r="308" spans="1:15" hidden="1" x14ac:dyDescent="0.35">
      <c r="A308" t="s">
        <v>23</v>
      </c>
      <c r="B308" t="s">
        <v>299</v>
      </c>
      <c r="C308" t="s">
        <v>317</v>
      </c>
      <c r="D308" t="s">
        <v>320</v>
      </c>
      <c r="E308">
        <v>17</v>
      </c>
      <c r="F308" t="s">
        <v>320</v>
      </c>
      <c r="G308" t="s">
        <v>56</v>
      </c>
      <c r="H308">
        <v>0.5</v>
      </c>
      <c r="J308">
        <v>-316080.80102262192</v>
      </c>
      <c r="K308">
        <v>1.7000000000000001E-2</v>
      </c>
      <c r="L308">
        <v>1.4142135623730949</v>
      </c>
      <c r="M308" t="s">
        <v>353</v>
      </c>
      <c r="N308">
        <v>1.202081528017131E-2</v>
      </c>
      <c r="O308">
        <v>-3799.548922701521</v>
      </c>
    </row>
    <row r="309" spans="1:15" hidden="1" x14ac:dyDescent="0.35">
      <c r="A309" t="s">
        <v>23</v>
      </c>
      <c r="B309" t="s">
        <v>299</v>
      </c>
      <c r="C309" t="s">
        <v>317</v>
      </c>
      <c r="D309" t="s">
        <v>320</v>
      </c>
      <c r="E309">
        <v>18</v>
      </c>
      <c r="F309" t="s">
        <v>320</v>
      </c>
      <c r="G309" t="s">
        <v>72</v>
      </c>
      <c r="H309">
        <v>0.5</v>
      </c>
      <c r="J309">
        <v>-8021.2453808030659</v>
      </c>
      <c r="K309">
        <v>1.7000000000000001E-2</v>
      </c>
      <c r="L309">
        <v>1.4142135623730949</v>
      </c>
      <c r="M309" t="s">
        <v>353</v>
      </c>
      <c r="N309">
        <v>1.202081528017131E-2</v>
      </c>
      <c r="O309">
        <v>-96.421909039561044</v>
      </c>
    </row>
    <row r="310" spans="1:15" hidden="1" x14ac:dyDescent="0.35">
      <c r="A310" t="s">
        <v>23</v>
      </c>
      <c r="B310" t="s">
        <v>299</v>
      </c>
      <c r="C310" t="s">
        <v>317</v>
      </c>
      <c r="D310" t="s">
        <v>320</v>
      </c>
      <c r="E310">
        <v>19</v>
      </c>
      <c r="F310" t="s">
        <v>320</v>
      </c>
      <c r="G310" t="s">
        <v>123</v>
      </c>
      <c r="H310">
        <v>0.5</v>
      </c>
      <c r="J310">
        <v>-12176.51527383623</v>
      </c>
      <c r="K310">
        <v>1.7000000000000001E-2</v>
      </c>
      <c r="L310">
        <v>1.4142135623730949</v>
      </c>
      <c r="M310" t="s">
        <v>353</v>
      </c>
      <c r="N310">
        <v>1.202081528017131E-2</v>
      </c>
      <c r="O310">
        <v>-146.37164086296991</v>
      </c>
    </row>
    <row r="311" spans="1:15" hidden="1" x14ac:dyDescent="0.35">
      <c r="A311" t="s">
        <v>23</v>
      </c>
      <c r="B311" t="s">
        <v>299</v>
      </c>
      <c r="C311" t="s">
        <v>317</v>
      </c>
      <c r="D311" t="s">
        <v>320</v>
      </c>
      <c r="E311">
        <v>20</v>
      </c>
      <c r="F311" t="s">
        <v>320</v>
      </c>
      <c r="G311" t="s">
        <v>58</v>
      </c>
      <c r="H311">
        <v>0.5</v>
      </c>
      <c r="J311">
        <v>-4879.3897298082811</v>
      </c>
      <c r="K311">
        <v>1.7000000000000001E-2</v>
      </c>
      <c r="L311">
        <v>1.4142135623730949</v>
      </c>
      <c r="M311" t="s">
        <v>353</v>
      </c>
      <c r="N311">
        <v>1.202081528017131E-2</v>
      </c>
      <c r="O311">
        <v>-58.654242621990349</v>
      </c>
    </row>
    <row r="312" spans="1:15" hidden="1" x14ac:dyDescent="0.35">
      <c r="A312" t="s">
        <v>23</v>
      </c>
      <c r="B312" t="s">
        <v>299</v>
      </c>
      <c r="C312" t="s">
        <v>317</v>
      </c>
      <c r="D312" t="s">
        <v>320</v>
      </c>
      <c r="E312">
        <v>21</v>
      </c>
      <c r="F312" t="s">
        <v>320</v>
      </c>
      <c r="G312" t="s">
        <v>148</v>
      </c>
      <c r="H312">
        <v>0.5</v>
      </c>
      <c r="J312">
        <v>-5831.637950223012</v>
      </c>
      <c r="K312">
        <v>1.7000000000000001E-2</v>
      </c>
      <c r="L312">
        <v>1.4142135623730949</v>
      </c>
      <c r="M312" t="s">
        <v>353</v>
      </c>
      <c r="N312">
        <v>1.202081528017131E-2</v>
      </c>
      <c r="O312">
        <v>-70.101042580467677</v>
      </c>
    </row>
    <row r="313" spans="1:15" hidden="1" x14ac:dyDescent="0.35">
      <c r="A313" t="s">
        <v>23</v>
      </c>
      <c r="B313" t="s">
        <v>299</v>
      </c>
      <c r="C313" t="s">
        <v>317</v>
      </c>
      <c r="D313" t="s">
        <v>320</v>
      </c>
      <c r="E313">
        <v>22</v>
      </c>
      <c r="F313" t="s">
        <v>320</v>
      </c>
      <c r="G313" t="s">
        <v>74</v>
      </c>
      <c r="H313">
        <v>0.5</v>
      </c>
      <c r="J313">
        <v>-5936.8435357782801</v>
      </c>
      <c r="K313">
        <v>1.7000000000000001E-2</v>
      </c>
      <c r="L313">
        <v>1.4142135623730949</v>
      </c>
      <c r="M313" t="s">
        <v>353</v>
      </c>
      <c r="N313">
        <v>1.202081528017131E-2</v>
      </c>
      <c r="O313">
        <v>-71.365699490869815</v>
      </c>
    </row>
    <row r="314" spans="1:15" hidden="1" x14ac:dyDescent="0.35">
      <c r="A314" t="s">
        <v>23</v>
      </c>
      <c r="B314" t="s">
        <v>299</v>
      </c>
      <c r="C314" t="s">
        <v>317</v>
      </c>
      <c r="D314" t="s">
        <v>320</v>
      </c>
      <c r="E314">
        <v>37</v>
      </c>
      <c r="F314" t="s">
        <v>320</v>
      </c>
      <c r="G314" t="s">
        <v>161</v>
      </c>
      <c r="H314">
        <v>0.5</v>
      </c>
      <c r="J314">
        <v>-960840.3903990984</v>
      </c>
      <c r="K314">
        <v>1.7000000000000001E-2</v>
      </c>
      <c r="L314">
        <v>1.4142135623730949</v>
      </c>
      <c r="M314" t="s">
        <v>353</v>
      </c>
      <c r="N314">
        <v>1.202081528017131E-2</v>
      </c>
      <c r="O314">
        <v>-11550.08484671525</v>
      </c>
    </row>
    <row r="315" spans="1:15" hidden="1" x14ac:dyDescent="0.35">
      <c r="A315" t="s">
        <v>23</v>
      </c>
      <c r="B315" t="s">
        <v>299</v>
      </c>
      <c r="C315" t="s">
        <v>317</v>
      </c>
      <c r="D315" t="s">
        <v>320</v>
      </c>
      <c r="E315">
        <v>38</v>
      </c>
      <c r="F315" t="s">
        <v>320</v>
      </c>
      <c r="G315" t="s">
        <v>215</v>
      </c>
      <c r="H315">
        <v>0.5</v>
      </c>
      <c r="J315">
        <v>-284896.48967981339</v>
      </c>
      <c r="K315">
        <v>1.7000000000000001E-2</v>
      </c>
      <c r="L315">
        <v>1.4142135623730949</v>
      </c>
      <c r="M315" t="s">
        <v>353</v>
      </c>
      <c r="N315">
        <v>1.202081528017131E-2</v>
      </c>
      <c r="O315">
        <v>-3424.6880764102689</v>
      </c>
    </row>
    <row r="316" spans="1:15" hidden="1" x14ac:dyDescent="0.35">
      <c r="A316" t="s">
        <v>23</v>
      </c>
      <c r="B316" t="s">
        <v>299</v>
      </c>
      <c r="C316" t="s">
        <v>317</v>
      </c>
      <c r="D316" t="s">
        <v>320</v>
      </c>
      <c r="E316">
        <v>39</v>
      </c>
      <c r="F316" t="s">
        <v>320</v>
      </c>
      <c r="G316" t="s">
        <v>217</v>
      </c>
      <c r="H316">
        <v>0.5</v>
      </c>
      <c r="J316">
        <v>94965.496566146612</v>
      </c>
      <c r="K316">
        <v>1.7000000000000001E-2</v>
      </c>
      <c r="L316">
        <v>1.4142135623730949</v>
      </c>
      <c r="M316" t="s">
        <v>353</v>
      </c>
      <c r="N316">
        <v>1.202081528017131E-2</v>
      </c>
      <c r="O316">
        <v>1141.5626922113911</v>
      </c>
    </row>
    <row r="317" spans="1:15" hidden="1" x14ac:dyDescent="0.35">
      <c r="A317" t="s">
        <v>23</v>
      </c>
      <c r="B317" t="s">
        <v>299</v>
      </c>
      <c r="C317" t="s">
        <v>317</v>
      </c>
      <c r="D317" t="s">
        <v>320</v>
      </c>
      <c r="E317">
        <v>40</v>
      </c>
      <c r="F317" t="s">
        <v>320</v>
      </c>
      <c r="G317" t="s">
        <v>168</v>
      </c>
      <c r="H317">
        <v>0.5</v>
      </c>
      <c r="J317">
        <v>-836184.76048111916</v>
      </c>
      <c r="K317">
        <v>1.7000000000000001E-2</v>
      </c>
      <c r="L317">
        <v>1.4142135623730949</v>
      </c>
      <c r="M317" t="s">
        <v>353</v>
      </c>
      <c r="N317">
        <v>1.202081528017131E-2</v>
      </c>
      <c r="O317">
        <v>-10051.622545837819</v>
      </c>
    </row>
    <row r="318" spans="1:15" hidden="1" x14ac:dyDescent="0.35">
      <c r="A318" t="s">
        <v>23</v>
      </c>
      <c r="B318" t="s">
        <v>299</v>
      </c>
      <c r="C318" t="s">
        <v>317</v>
      </c>
      <c r="D318" t="s">
        <v>320</v>
      </c>
      <c r="E318">
        <v>41</v>
      </c>
      <c r="F318" t="s">
        <v>320</v>
      </c>
      <c r="G318" t="s">
        <v>170</v>
      </c>
      <c r="H318">
        <v>0.5</v>
      </c>
      <c r="J318">
        <v>-66595.878787338734</v>
      </c>
      <c r="K318">
        <v>1.7000000000000001E-2</v>
      </c>
      <c r="L318">
        <v>1.4142135623730949</v>
      </c>
      <c r="M318" t="s">
        <v>353</v>
      </c>
      <c r="N318">
        <v>1.202081528017131E-2</v>
      </c>
      <c r="O318">
        <v>-800.53675732327793</v>
      </c>
    </row>
    <row r="319" spans="1:15" hidden="1" x14ac:dyDescent="0.35">
      <c r="A319" t="s">
        <v>23</v>
      </c>
      <c r="B319" t="s">
        <v>299</v>
      </c>
      <c r="C319" t="s">
        <v>317</v>
      </c>
      <c r="D319" t="s">
        <v>320</v>
      </c>
      <c r="E319">
        <v>42</v>
      </c>
      <c r="F319" t="s">
        <v>320</v>
      </c>
      <c r="G319" t="s">
        <v>226</v>
      </c>
      <c r="H319">
        <v>0.5</v>
      </c>
      <c r="J319">
        <v>-123883.8386535645</v>
      </c>
      <c r="K319">
        <v>1.7000000000000001E-2</v>
      </c>
      <c r="L319">
        <v>1.4142135623730949</v>
      </c>
      <c r="M319" t="s">
        <v>353</v>
      </c>
      <c r="N319">
        <v>1.202081528017131E-2</v>
      </c>
      <c r="O319">
        <v>-1489.1847406530451</v>
      </c>
    </row>
    <row r="320" spans="1:15" hidden="1" x14ac:dyDescent="0.35">
      <c r="A320" t="s">
        <v>23</v>
      </c>
      <c r="B320" t="s">
        <v>299</v>
      </c>
      <c r="C320" t="s">
        <v>317</v>
      </c>
      <c r="D320" t="s">
        <v>320</v>
      </c>
      <c r="E320">
        <v>43</v>
      </c>
      <c r="F320" t="s">
        <v>320</v>
      </c>
      <c r="G320" t="s">
        <v>206</v>
      </c>
      <c r="H320">
        <v>0.5</v>
      </c>
      <c r="J320">
        <v>-7847564.2174482346</v>
      </c>
      <c r="K320">
        <v>1.7000000000000001E-2</v>
      </c>
      <c r="L320">
        <v>1.4142135623730949</v>
      </c>
      <c r="M320" t="s">
        <v>353</v>
      </c>
      <c r="N320">
        <v>1.202081528017131E-2</v>
      </c>
      <c r="O320">
        <v>-94334.119857227357</v>
      </c>
    </row>
    <row r="321" spans="1:15" hidden="1" x14ac:dyDescent="0.35">
      <c r="A321" t="s">
        <v>23</v>
      </c>
      <c r="B321" t="s">
        <v>299</v>
      </c>
      <c r="C321" t="s">
        <v>317</v>
      </c>
      <c r="D321" t="s">
        <v>320</v>
      </c>
      <c r="E321">
        <v>44</v>
      </c>
      <c r="F321" t="s">
        <v>320</v>
      </c>
      <c r="G321" t="s">
        <v>260</v>
      </c>
      <c r="H321">
        <v>0.5</v>
      </c>
      <c r="J321">
        <v>-372421.04016244411</v>
      </c>
      <c r="K321">
        <v>1.7000000000000001E-2</v>
      </c>
      <c r="L321">
        <v>1.4142135623730949</v>
      </c>
      <c r="M321" t="s">
        <v>353</v>
      </c>
      <c r="N321">
        <v>1.202081528017131E-2</v>
      </c>
      <c r="O321">
        <v>-4476.8045302420014</v>
      </c>
    </row>
    <row r="322" spans="1:15" hidden="1" x14ac:dyDescent="0.35">
      <c r="A322" t="s">
        <v>23</v>
      </c>
      <c r="B322" t="s">
        <v>299</v>
      </c>
      <c r="C322" t="s">
        <v>317</v>
      </c>
      <c r="D322" t="s">
        <v>320</v>
      </c>
      <c r="E322">
        <v>45</v>
      </c>
      <c r="F322" t="s">
        <v>320</v>
      </c>
      <c r="G322" t="s">
        <v>262</v>
      </c>
      <c r="H322">
        <v>0.5</v>
      </c>
      <c r="J322">
        <v>-165520.4623192549</v>
      </c>
      <c r="K322">
        <v>1.7000000000000001E-2</v>
      </c>
      <c r="L322">
        <v>1.4142135623730949</v>
      </c>
      <c r="M322" t="s">
        <v>353</v>
      </c>
      <c r="N322">
        <v>1.202081528017131E-2</v>
      </c>
      <c r="O322">
        <v>-1989.690902628319</v>
      </c>
    </row>
    <row r="323" spans="1:15" hidden="1" x14ac:dyDescent="0.35">
      <c r="A323" t="s">
        <v>23</v>
      </c>
      <c r="B323" t="s">
        <v>299</v>
      </c>
      <c r="C323" t="s">
        <v>317</v>
      </c>
      <c r="D323" t="s">
        <v>320</v>
      </c>
      <c r="E323">
        <v>46</v>
      </c>
      <c r="F323" t="s">
        <v>320</v>
      </c>
      <c r="G323" t="s">
        <v>185</v>
      </c>
      <c r="H323">
        <v>0.5</v>
      </c>
      <c r="J323">
        <v>-134166959.7655535</v>
      </c>
      <c r="K323">
        <v>1.7000000000000001E-2</v>
      </c>
      <c r="L323">
        <v>1.4142135623730949</v>
      </c>
      <c r="M323" t="s">
        <v>353</v>
      </c>
      <c r="N323">
        <v>1.202081528017131E-2</v>
      </c>
      <c r="O323">
        <v>-1612796.2400438951</v>
      </c>
    </row>
    <row r="324" spans="1:15" hidden="1" x14ac:dyDescent="0.35">
      <c r="A324" t="s">
        <v>23</v>
      </c>
      <c r="B324" t="s">
        <v>299</v>
      </c>
      <c r="C324" t="s">
        <v>317</v>
      </c>
      <c r="D324" t="s">
        <v>320</v>
      </c>
      <c r="E324">
        <v>47</v>
      </c>
      <c r="F324" t="s">
        <v>320</v>
      </c>
      <c r="G324" t="s">
        <v>187</v>
      </c>
      <c r="H324">
        <v>0.5</v>
      </c>
      <c r="J324">
        <v>-1256825.250089169</v>
      </c>
      <c r="K324">
        <v>1.7000000000000001E-2</v>
      </c>
      <c r="L324">
        <v>1.4142135623730949</v>
      </c>
      <c r="M324" t="s">
        <v>353</v>
      </c>
      <c r="N324">
        <v>1.202081528017131E-2</v>
      </c>
      <c r="O324">
        <v>-15108.06417077701</v>
      </c>
    </row>
    <row r="325" spans="1:15" hidden="1" x14ac:dyDescent="0.35">
      <c r="A325" t="s">
        <v>23</v>
      </c>
      <c r="B325" t="s">
        <v>299</v>
      </c>
      <c r="C325" t="s">
        <v>317</v>
      </c>
      <c r="D325" t="s">
        <v>320</v>
      </c>
      <c r="E325">
        <v>48</v>
      </c>
      <c r="F325" t="s">
        <v>320</v>
      </c>
      <c r="G325" t="s">
        <v>237</v>
      </c>
      <c r="H325">
        <v>0.5</v>
      </c>
      <c r="J325">
        <v>-167209.75901931521</v>
      </c>
      <c r="K325">
        <v>1.7000000000000001E-2</v>
      </c>
      <c r="L325">
        <v>1.4142135623730949</v>
      </c>
      <c r="M325" t="s">
        <v>353</v>
      </c>
      <c r="N325">
        <v>1.202081528017131E-2</v>
      </c>
      <c r="O325">
        <v>-2009.997626213147</v>
      </c>
    </row>
    <row r="326" spans="1:15" hidden="1" x14ac:dyDescent="0.35">
      <c r="A326" t="s">
        <v>23</v>
      </c>
      <c r="B326" t="s">
        <v>299</v>
      </c>
      <c r="C326" t="s">
        <v>317</v>
      </c>
      <c r="D326" t="s">
        <v>320</v>
      </c>
      <c r="E326">
        <v>49</v>
      </c>
      <c r="F326" t="s">
        <v>320</v>
      </c>
      <c r="G326" t="s">
        <v>239</v>
      </c>
      <c r="H326">
        <v>0.5</v>
      </c>
      <c r="J326">
        <v>-91220.148466527462</v>
      </c>
      <c r="K326">
        <v>1.7000000000000001E-2</v>
      </c>
      <c r="L326">
        <v>1.4142135623730949</v>
      </c>
      <c r="M326" t="s">
        <v>353</v>
      </c>
      <c r="N326">
        <v>1.202081528017131E-2</v>
      </c>
      <c r="O326">
        <v>-1096.5405545459289</v>
      </c>
    </row>
    <row r="327" spans="1:15" hidden="1" x14ac:dyDescent="0.35">
      <c r="A327" t="s">
        <v>23</v>
      </c>
      <c r="B327" t="s">
        <v>299</v>
      </c>
      <c r="C327" t="s">
        <v>317</v>
      </c>
      <c r="D327" t="s">
        <v>320</v>
      </c>
      <c r="E327">
        <v>50</v>
      </c>
      <c r="F327" t="s">
        <v>320</v>
      </c>
      <c r="G327" t="s">
        <v>197</v>
      </c>
      <c r="H327">
        <v>0.5</v>
      </c>
      <c r="J327">
        <v>-3607500.064298511</v>
      </c>
      <c r="K327">
        <v>1.7000000000000001E-2</v>
      </c>
      <c r="L327">
        <v>1.4142135623730949</v>
      </c>
      <c r="M327" t="s">
        <v>353</v>
      </c>
      <c r="N327">
        <v>1.202081528017131E-2</v>
      </c>
      <c r="O327">
        <v>-43365.091896138532</v>
      </c>
    </row>
    <row r="328" spans="1:15" hidden="1" x14ac:dyDescent="0.35">
      <c r="A328" t="s">
        <v>23</v>
      </c>
      <c r="B328" t="s">
        <v>299</v>
      </c>
      <c r="C328" t="s">
        <v>317</v>
      </c>
      <c r="D328" t="s">
        <v>320</v>
      </c>
      <c r="E328">
        <v>51</v>
      </c>
      <c r="F328" t="s">
        <v>320</v>
      </c>
      <c r="G328" t="s">
        <v>251</v>
      </c>
      <c r="H328">
        <v>0.5</v>
      </c>
      <c r="J328">
        <v>538366.99618026614</v>
      </c>
      <c r="K328">
        <v>1.7000000000000001E-2</v>
      </c>
      <c r="L328">
        <v>1.4142135623730949</v>
      </c>
      <c r="M328" t="s">
        <v>353</v>
      </c>
      <c r="N328">
        <v>1.202081528017131E-2</v>
      </c>
      <c r="O328">
        <v>6471.6102140236726</v>
      </c>
    </row>
    <row r="329" spans="1:15" hidden="1" x14ac:dyDescent="0.35">
      <c r="A329" t="s">
        <v>23</v>
      </c>
      <c r="B329" t="s">
        <v>299</v>
      </c>
      <c r="C329" t="s">
        <v>317</v>
      </c>
      <c r="D329" t="s">
        <v>320</v>
      </c>
      <c r="E329">
        <v>53</v>
      </c>
      <c r="F329" t="s">
        <v>320</v>
      </c>
      <c r="G329" t="s">
        <v>354</v>
      </c>
      <c r="H329">
        <v>0.5</v>
      </c>
      <c r="J329">
        <v>6130925.1686481042</v>
      </c>
      <c r="K329">
        <v>1.7000000000000001E-2</v>
      </c>
      <c r="L329">
        <v>1.4142135623730949</v>
      </c>
      <c r="M329" t="s">
        <v>353</v>
      </c>
      <c r="N329">
        <v>1.202081528017131E-2</v>
      </c>
      <c r="O329">
        <v>73698.718948872003</v>
      </c>
    </row>
    <row r="330" spans="1:15" hidden="1" x14ac:dyDescent="0.35">
      <c r="A330" t="s">
        <v>23</v>
      </c>
      <c r="B330" t="s">
        <v>299</v>
      </c>
      <c r="C330" t="s">
        <v>317</v>
      </c>
      <c r="D330" t="s">
        <v>320</v>
      </c>
      <c r="E330">
        <v>55</v>
      </c>
      <c r="F330" t="s">
        <v>320</v>
      </c>
      <c r="G330" t="s">
        <v>355</v>
      </c>
      <c r="H330">
        <v>0.5</v>
      </c>
      <c r="J330">
        <v>146034.69409735221</v>
      </c>
      <c r="K330">
        <v>1.7000000000000001E-2</v>
      </c>
      <c r="L330">
        <v>1.4142135623730949</v>
      </c>
      <c r="M330" t="s">
        <v>353</v>
      </c>
      <c r="N330">
        <v>1.202081528017131E-2</v>
      </c>
      <c r="O330">
        <v>1755.456082240594</v>
      </c>
    </row>
    <row r="331" spans="1:15" hidden="1" x14ac:dyDescent="0.35">
      <c r="A331" t="s">
        <v>23</v>
      </c>
      <c r="B331" t="s">
        <v>299</v>
      </c>
      <c r="C331" t="s">
        <v>317</v>
      </c>
      <c r="D331" t="s">
        <v>320</v>
      </c>
      <c r="E331">
        <v>57</v>
      </c>
      <c r="F331" t="s">
        <v>320</v>
      </c>
      <c r="G331" t="s">
        <v>356</v>
      </c>
      <c r="H331">
        <v>0.5</v>
      </c>
      <c r="J331">
        <v>98716.77390549393</v>
      </c>
      <c r="K331">
        <v>1.7000000000000001E-2</v>
      </c>
      <c r="L331">
        <v>1.4142135623730949</v>
      </c>
      <c r="M331" t="s">
        <v>353</v>
      </c>
      <c r="N331">
        <v>1.202081528017131E-2</v>
      </c>
      <c r="O331">
        <v>1186.656104172378</v>
      </c>
    </row>
    <row r="332" spans="1:15" hidden="1" x14ac:dyDescent="0.35">
      <c r="A332" t="s">
        <v>23</v>
      </c>
      <c r="B332" t="s">
        <v>299</v>
      </c>
      <c r="C332" t="s">
        <v>317</v>
      </c>
      <c r="D332" t="s">
        <v>320</v>
      </c>
      <c r="E332">
        <v>58</v>
      </c>
      <c r="F332" t="s">
        <v>320</v>
      </c>
      <c r="G332" t="s">
        <v>357</v>
      </c>
      <c r="H332">
        <v>0.5</v>
      </c>
      <c r="J332">
        <v>-163641.87823114661</v>
      </c>
      <c r="K332">
        <v>1.7000000000000001E-2</v>
      </c>
      <c r="L332">
        <v>1.4142135623730949</v>
      </c>
      <c r="M332" t="s">
        <v>353</v>
      </c>
      <c r="N332">
        <v>1.202081528017131E-2</v>
      </c>
      <c r="O332">
        <v>-1967.1087903169</v>
      </c>
    </row>
    <row r="333" spans="1:15" hidden="1" x14ac:dyDescent="0.35">
      <c r="A333" t="s">
        <v>23</v>
      </c>
      <c r="B333" t="s">
        <v>299</v>
      </c>
      <c r="C333" t="s">
        <v>317</v>
      </c>
      <c r="D333" t="s">
        <v>321</v>
      </c>
      <c r="E333">
        <v>1</v>
      </c>
      <c r="F333" t="s">
        <v>321</v>
      </c>
      <c r="G333" t="s">
        <v>322</v>
      </c>
      <c r="H333">
        <v>1</v>
      </c>
      <c r="J333">
        <v>-3758722.560583578</v>
      </c>
      <c r="K333">
        <v>1.6E-2</v>
      </c>
      <c r="L333">
        <v>1.4142135623730949</v>
      </c>
      <c r="M333" t="s">
        <v>353</v>
      </c>
      <c r="N333">
        <v>1.131370849898476E-2</v>
      </c>
      <c r="O333">
        <v>-42525.091379000187</v>
      </c>
    </row>
    <row r="334" spans="1:15" hidden="1" x14ac:dyDescent="0.35">
      <c r="A334" t="s">
        <v>23</v>
      </c>
      <c r="B334" t="s">
        <v>299</v>
      </c>
      <c r="C334" t="s">
        <v>317</v>
      </c>
      <c r="D334" t="s">
        <v>321</v>
      </c>
      <c r="E334">
        <v>2</v>
      </c>
      <c r="F334" t="s">
        <v>321</v>
      </c>
      <c r="G334" t="s">
        <v>319</v>
      </c>
      <c r="H334">
        <v>1</v>
      </c>
      <c r="J334">
        <v>-72451.434786984231</v>
      </c>
      <c r="K334">
        <v>1.6E-2</v>
      </c>
      <c r="L334">
        <v>1.4142135623730949</v>
      </c>
      <c r="M334" t="s">
        <v>353</v>
      </c>
      <c r="N334">
        <v>1.131370849898476E-2</v>
      </c>
      <c r="O334">
        <v>-819.69441351314379</v>
      </c>
    </row>
    <row r="335" spans="1:15" hidden="1" x14ac:dyDescent="0.35">
      <c r="A335" t="s">
        <v>23</v>
      </c>
      <c r="B335" t="s">
        <v>299</v>
      </c>
      <c r="C335" t="s">
        <v>317</v>
      </c>
      <c r="D335" t="s">
        <v>321</v>
      </c>
      <c r="E335">
        <v>3</v>
      </c>
      <c r="F335" t="s">
        <v>321</v>
      </c>
      <c r="G335" t="s">
        <v>113</v>
      </c>
      <c r="H335">
        <v>1</v>
      </c>
      <c r="J335">
        <v>-760743.82740989677</v>
      </c>
      <c r="K335">
        <v>1.6E-2</v>
      </c>
      <c r="L335">
        <v>1.4142135623730949</v>
      </c>
      <c r="M335" t="s">
        <v>353</v>
      </c>
      <c r="N335">
        <v>1.131370849898476E-2</v>
      </c>
      <c r="O335">
        <v>-8606.8339057175453</v>
      </c>
    </row>
    <row r="336" spans="1:15" hidden="1" x14ac:dyDescent="0.35">
      <c r="A336" t="s">
        <v>23</v>
      </c>
      <c r="B336" t="s">
        <v>299</v>
      </c>
      <c r="C336" t="s">
        <v>317</v>
      </c>
      <c r="D336" t="s">
        <v>321</v>
      </c>
      <c r="E336">
        <v>4</v>
      </c>
      <c r="F336" t="s">
        <v>321</v>
      </c>
      <c r="G336" t="s">
        <v>115</v>
      </c>
      <c r="H336">
        <v>1</v>
      </c>
      <c r="J336">
        <v>-21701.064204933122</v>
      </c>
      <c r="K336">
        <v>1.6E-2</v>
      </c>
      <c r="L336">
        <v>1.4142135623730949</v>
      </c>
      <c r="M336" t="s">
        <v>353</v>
      </c>
      <c r="N336">
        <v>1.131370849898476E-2</v>
      </c>
      <c r="O336">
        <v>-245.51951453236589</v>
      </c>
    </row>
    <row r="337" spans="1:15" hidden="1" x14ac:dyDescent="0.35">
      <c r="A337" t="s">
        <v>23</v>
      </c>
      <c r="B337" t="s">
        <v>299</v>
      </c>
      <c r="C337" t="s">
        <v>317</v>
      </c>
      <c r="D337" t="s">
        <v>321</v>
      </c>
      <c r="E337">
        <v>6</v>
      </c>
      <c r="F337" t="s">
        <v>321</v>
      </c>
      <c r="G337" t="s">
        <v>117</v>
      </c>
      <c r="H337">
        <v>1</v>
      </c>
      <c r="J337">
        <v>-53939.421124027831</v>
      </c>
      <c r="K337">
        <v>1.6E-2</v>
      </c>
      <c r="L337">
        <v>1.4142135623730949</v>
      </c>
      <c r="M337" t="s">
        <v>353</v>
      </c>
      <c r="N337">
        <v>1.131370849898476E-2</v>
      </c>
      <c r="O337">
        <v>-610.2548872012319</v>
      </c>
    </row>
    <row r="338" spans="1:15" hidden="1" x14ac:dyDescent="0.35">
      <c r="A338" t="s">
        <v>23</v>
      </c>
      <c r="B338" t="s">
        <v>299</v>
      </c>
      <c r="C338" t="s">
        <v>317</v>
      </c>
      <c r="D338" t="s">
        <v>321</v>
      </c>
      <c r="E338">
        <v>7</v>
      </c>
      <c r="F338" t="s">
        <v>321</v>
      </c>
      <c r="G338" t="s">
        <v>144</v>
      </c>
      <c r="H338">
        <v>1</v>
      </c>
      <c r="J338">
        <v>-32518.262132896329</v>
      </c>
      <c r="K338">
        <v>1.6E-2</v>
      </c>
      <c r="L338">
        <v>1.4142135623730949</v>
      </c>
      <c r="M338" t="s">
        <v>353</v>
      </c>
      <c r="N338">
        <v>1.131370849898476E-2</v>
      </c>
      <c r="O338">
        <v>-367.90213866516348</v>
      </c>
    </row>
    <row r="339" spans="1:15" hidden="1" x14ac:dyDescent="0.35">
      <c r="A339" t="s">
        <v>23</v>
      </c>
      <c r="B339" t="s">
        <v>299</v>
      </c>
      <c r="C339" t="s">
        <v>317</v>
      </c>
      <c r="D339" t="s">
        <v>321</v>
      </c>
      <c r="E339">
        <v>8</v>
      </c>
      <c r="F339" t="s">
        <v>321</v>
      </c>
      <c r="G339" t="s">
        <v>93</v>
      </c>
      <c r="H339">
        <v>1</v>
      </c>
      <c r="J339">
        <v>-517503.60284171387</v>
      </c>
      <c r="K339">
        <v>1.6E-2</v>
      </c>
      <c r="L339">
        <v>1.4142135623730949</v>
      </c>
      <c r="M339" t="s">
        <v>353</v>
      </c>
      <c r="N339">
        <v>1.131370849898476E-2</v>
      </c>
      <c r="O339">
        <v>-5854.8849097255334</v>
      </c>
    </row>
    <row r="340" spans="1:15" hidden="1" x14ac:dyDescent="0.35">
      <c r="A340" t="s">
        <v>23</v>
      </c>
      <c r="B340" t="s">
        <v>299</v>
      </c>
      <c r="C340" t="s">
        <v>317</v>
      </c>
      <c r="D340" t="s">
        <v>321</v>
      </c>
      <c r="E340">
        <v>9</v>
      </c>
      <c r="F340" t="s">
        <v>321</v>
      </c>
      <c r="G340" t="s">
        <v>66</v>
      </c>
      <c r="H340">
        <v>1</v>
      </c>
      <c r="J340">
        <v>-387225.4103970931</v>
      </c>
      <c r="K340">
        <v>1.6E-2</v>
      </c>
      <c r="L340">
        <v>1.4142135623730949</v>
      </c>
      <c r="M340" t="s">
        <v>353</v>
      </c>
      <c r="N340">
        <v>1.131370849898476E-2</v>
      </c>
      <c r="O340">
        <v>-4380.9554166324542</v>
      </c>
    </row>
    <row r="341" spans="1:15" hidden="1" x14ac:dyDescent="0.35">
      <c r="A341" t="s">
        <v>23</v>
      </c>
      <c r="B341" t="s">
        <v>299</v>
      </c>
      <c r="C341" t="s">
        <v>317</v>
      </c>
      <c r="D341" t="s">
        <v>321</v>
      </c>
      <c r="E341">
        <v>10</v>
      </c>
      <c r="F341" t="s">
        <v>321</v>
      </c>
      <c r="G341" t="s">
        <v>68</v>
      </c>
      <c r="H341">
        <v>1</v>
      </c>
      <c r="J341">
        <v>-32088.043388000639</v>
      </c>
      <c r="K341">
        <v>1.6E-2</v>
      </c>
      <c r="L341">
        <v>1.4142135623730949</v>
      </c>
      <c r="M341" t="s">
        <v>353</v>
      </c>
      <c r="N341">
        <v>1.131370849898476E-2</v>
      </c>
      <c r="O341">
        <v>-363.03476919461463</v>
      </c>
    </row>
    <row r="342" spans="1:15" hidden="1" x14ac:dyDescent="0.35">
      <c r="A342" t="s">
        <v>23</v>
      </c>
      <c r="B342" t="s">
        <v>299</v>
      </c>
      <c r="C342" t="s">
        <v>317</v>
      </c>
      <c r="D342" t="s">
        <v>321</v>
      </c>
      <c r="E342">
        <v>11</v>
      </c>
      <c r="F342" t="s">
        <v>321</v>
      </c>
      <c r="G342" t="s">
        <v>70</v>
      </c>
      <c r="H342">
        <v>1</v>
      </c>
      <c r="J342">
        <v>-36180.043899832977</v>
      </c>
      <c r="K342">
        <v>1.6E-2</v>
      </c>
      <c r="L342">
        <v>1.4142135623730949</v>
      </c>
      <c r="M342" t="s">
        <v>353</v>
      </c>
      <c r="N342">
        <v>1.131370849898476E-2</v>
      </c>
      <c r="O342">
        <v>-409.33047016318221</v>
      </c>
    </row>
    <row r="343" spans="1:15" hidden="1" x14ac:dyDescent="0.35">
      <c r="A343" t="s">
        <v>23</v>
      </c>
      <c r="B343" t="s">
        <v>299</v>
      </c>
      <c r="C343" t="s">
        <v>317</v>
      </c>
      <c r="D343" t="s">
        <v>321</v>
      </c>
      <c r="E343">
        <v>12</v>
      </c>
      <c r="F343" t="s">
        <v>321</v>
      </c>
      <c r="G343" t="s">
        <v>95</v>
      </c>
      <c r="H343">
        <v>1</v>
      </c>
      <c r="J343">
        <v>-22638.791624444821</v>
      </c>
      <c r="K343">
        <v>1.6E-2</v>
      </c>
      <c r="L343">
        <v>1.4142135623730949</v>
      </c>
      <c r="M343" t="s">
        <v>353</v>
      </c>
      <c r="N343">
        <v>1.131370849898476E-2</v>
      </c>
      <c r="O343">
        <v>-256.12868920822638</v>
      </c>
    </row>
    <row r="344" spans="1:15" hidden="1" x14ac:dyDescent="0.35">
      <c r="A344" t="s">
        <v>23</v>
      </c>
      <c r="B344" t="s">
        <v>299</v>
      </c>
      <c r="C344" t="s">
        <v>317</v>
      </c>
      <c r="D344" t="s">
        <v>321</v>
      </c>
      <c r="E344">
        <v>13</v>
      </c>
      <c r="F344" t="s">
        <v>321</v>
      </c>
      <c r="G344" t="s">
        <v>146</v>
      </c>
      <c r="H344">
        <v>1</v>
      </c>
      <c r="J344">
        <v>-675438.72769539349</v>
      </c>
      <c r="K344">
        <v>1.6E-2</v>
      </c>
      <c r="L344">
        <v>1.4142135623730949</v>
      </c>
      <c r="M344" t="s">
        <v>353</v>
      </c>
      <c r="N344">
        <v>1.131370849898476E-2</v>
      </c>
      <c r="O344">
        <v>-7641.7168740708285</v>
      </c>
    </row>
    <row r="345" spans="1:15" hidden="1" x14ac:dyDescent="0.35">
      <c r="A345" t="s">
        <v>23</v>
      </c>
      <c r="B345" t="s">
        <v>299</v>
      </c>
      <c r="C345" t="s">
        <v>317</v>
      </c>
      <c r="D345" t="s">
        <v>321</v>
      </c>
      <c r="E345">
        <v>14</v>
      </c>
      <c r="F345" t="s">
        <v>321</v>
      </c>
      <c r="G345" t="s">
        <v>119</v>
      </c>
      <c r="H345">
        <v>1</v>
      </c>
      <c r="J345">
        <v>-20442.059000970399</v>
      </c>
      <c r="K345">
        <v>1.6E-2</v>
      </c>
      <c r="L345">
        <v>1.4142135623730949</v>
      </c>
      <c r="M345" t="s">
        <v>353</v>
      </c>
      <c r="N345">
        <v>1.131370849898476E-2</v>
      </c>
      <c r="O345">
        <v>-231.27549665602669</v>
      </c>
    </row>
    <row r="346" spans="1:15" hidden="1" x14ac:dyDescent="0.35">
      <c r="A346" t="s">
        <v>23</v>
      </c>
      <c r="B346" t="s">
        <v>299</v>
      </c>
      <c r="C346" t="s">
        <v>317</v>
      </c>
      <c r="D346" t="s">
        <v>321</v>
      </c>
      <c r="E346">
        <v>15</v>
      </c>
      <c r="F346" t="s">
        <v>321</v>
      </c>
      <c r="G346" t="s">
        <v>121</v>
      </c>
      <c r="H346">
        <v>1</v>
      </c>
      <c r="J346">
        <v>-32266.564495955659</v>
      </c>
      <c r="K346">
        <v>1.6E-2</v>
      </c>
      <c r="L346">
        <v>1.4142135623730949</v>
      </c>
      <c r="M346" t="s">
        <v>353</v>
      </c>
      <c r="N346">
        <v>1.131370849898476E-2</v>
      </c>
      <c r="O346">
        <v>-365.05450497093352</v>
      </c>
    </row>
    <row r="347" spans="1:15" hidden="1" x14ac:dyDescent="0.35">
      <c r="A347" t="s">
        <v>23</v>
      </c>
      <c r="B347" t="s">
        <v>299</v>
      </c>
      <c r="C347" t="s">
        <v>317</v>
      </c>
      <c r="D347" t="s">
        <v>321</v>
      </c>
      <c r="E347">
        <v>16</v>
      </c>
      <c r="F347" t="s">
        <v>321</v>
      </c>
      <c r="G347" t="s">
        <v>97</v>
      </c>
      <c r="H347">
        <v>1</v>
      </c>
      <c r="J347">
        <v>-27370.646370002309</v>
      </c>
      <c r="K347">
        <v>1.6E-2</v>
      </c>
      <c r="L347">
        <v>1.4142135623730949</v>
      </c>
      <c r="M347" t="s">
        <v>353</v>
      </c>
      <c r="N347">
        <v>1.131370849898476E-2</v>
      </c>
      <c r="O347">
        <v>-309.66351445900148</v>
      </c>
    </row>
    <row r="348" spans="1:15" hidden="1" x14ac:dyDescent="0.35">
      <c r="A348" t="s">
        <v>23</v>
      </c>
      <c r="B348" t="s">
        <v>299</v>
      </c>
      <c r="C348" t="s">
        <v>317</v>
      </c>
      <c r="D348" t="s">
        <v>321</v>
      </c>
      <c r="E348">
        <v>17</v>
      </c>
      <c r="F348" t="s">
        <v>321</v>
      </c>
      <c r="G348" t="s">
        <v>56</v>
      </c>
      <c r="H348">
        <v>1</v>
      </c>
      <c r="J348">
        <v>-292791.05096725287</v>
      </c>
      <c r="K348">
        <v>1.6E-2</v>
      </c>
      <c r="L348">
        <v>1.4142135623730949</v>
      </c>
      <c r="M348" t="s">
        <v>353</v>
      </c>
      <c r="N348">
        <v>1.131370849898476E-2</v>
      </c>
      <c r="O348">
        <v>-3312.55260175489</v>
      </c>
    </row>
    <row r="349" spans="1:15" hidden="1" x14ac:dyDescent="0.35">
      <c r="A349" t="s">
        <v>23</v>
      </c>
      <c r="B349" t="s">
        <v>299</v>
      </c>
      <c r="C349" t="s">
        <v>317</v>
      </c>
      <c r="D349" t="s">
        <v>321</v>
      </c>
      <c r="E349">
        <v>18</v>
      </c>
      <c r="F349" t="s">
        <v>321</v>
      </c>
      <c r="G349" t="s">
        <v>72</v>
      </c>
      <c r="H349">
        <v>1</v>
      </c>
      <c r="J349">
        <v>-788278.50872488623</v>
      </c>
      <c r="K349">
        <v>1.6E-2</v>
      </c>
      <c r="L349">
        <v>1.4142135623730949</v>
      </c>
      <c r="M349" t="s">
        <v>353</v>
      </c>
      <c r="N349">
        <v>1.131370849898476E-2</v>
      </c>
      <c r="O349">
        <v>-8918.3532637277785</v>
      </c>
    </row>
    <row r="350" spans="1:15" hidden="1" x14ac:dyDescent="0.35">
      <c r="A350" t="s">
        <v>23</v>
      </c>
      <c r="B350" t="s">
        <v>299</v>
      </c>
      <c r="C350" t="s">
        <v>317</v>
      </c>
      <c r="D350" t="s">
        <v>321</v>
      </c>
      <c r="E350">
        <v>19</v>
      </c>
      <c r="F350" t="s">
        <v>321</v>
      </c>
      <c r="G350" t="s">
        <v>123</v>
      </c>
      <c r="H350">
        <v>1</v>
      </c>
      <c r="J350">
        <v>-54177.751245617852</v>
      </c>
      <c r="K350">
        <v>1.6E-2</v>
      </c>
      <c r="L350">
        <v>1.4142135623730949</v>
      </c>
      <c r="M350" t="s">
        <v>353</v>
      </c>
      <c r="N350">
        <v>1.131370849898476E-2</v>
      </c>
      <c r="O350">
        <v>-612.95128472342901</v>
      </c>
    </row>
    <row r="351" spans="1:15" hidden="1" x14ac:dyDescent="0.35">
      <c r="A351" t="s">
        <v>23</v>
      </c>
      <c r="B351" t="s">
        <v>299</v>
      </c>
      <c r="C351" t="s">
        <v>317</v>
      </c>
      <c r="D351" t="s">
        <v>321</v>
      </c>
      <c r="E351">
        <v>20</v>
      </c>
      <c r="F351" t="s">
        <v>321</v>
      </c>
      <c r="G351" t="s">
        <v>58</v>
      </c>
      <c r="H351">
        <v>1</v>
      </c>
      <c r="J351">
        <v>-22569.555331585889</v>
      </c>
      <c r="K351">
        <v>1.6E-2</v>
      </c>
      <c r="L351">
        <v>1.4142135623730949</v>
      </c>
      <c r="M351" t="s">
        <v>353</v>
      </c>
      <c r="N351">
        <v>1.131370849898476E-2</v>
      </c>
      <c r="O351">
        <v>-255.3453699732701</v>
      </c>
    </row>
    <row r="352" spans="1:15" hidden="1" x14ac:dyDescent="0.35">
      <c r="A352" t="s">
        <v>23</v>
      </c>
      <c r="B352" t="s">
        <v>299</v>
      </c>
      <c r="C352" t="s">
        <v>317</v>
      </c>
      <c r="D352" t="s">
        <v>321</v>
      </c>
      <c r="E352">
        <v>21</v>
      </c>
      <c r="F352" t="s">
        <v>321</v>
      </c>
      <c r="G352" t="s">
        <v>148</v>
      </c>
      <c r="H352">
        <v>1</v>
      </c>
      <c r="J352">
        <v>-524961.48986023176</v>
      </c>
      <c r="K352">
        <v>1.6E-2</v>
      </c>
      <c r="L352">
        <v>1.4142135623730949</v>
      </c>
      <c r="M352" t="s">
        <v>353</v>
      </c>
      <c r="N352">
        <v>1.131370849898476E-2</v>
      </c>
      <c r="O352">
        <v>-5939.2612694714071</v>
      </c>
    </row>
    <row r="353" spans="1:15" hidden="1" x14ac:dyDescent="0.35">
      <c r="A353" t="s">
        <v>23</v>
      </c>
      <c r="B353" t="s">
        <v>299</v>
      </c>
      <c r="C353" t="s">
        <v>317</v>
      </c>
      <c r="D353" t="s">
        <v>321</v>
      </c>
      <c r="E353">
        <v>22</v>
      </c>
      <c r="F353" t="s">
        <v>321</v>
      </c>
      <c r="G353" t="s">
        <v>74</v>
      </c>
      <c r="H353">
        <v>1</v>
      </c>
      <c r="J353">
        <v>-20441.331735639778</v>
      </c>
      <c r="K353">
        <v>1.6E-2</v>
      </c>
      <c r="L353">
        <v>1.4142135623730949</v>
      </c>
      <c r="M353" t="s">
        <v>353</v>
      </c>
      <c r="N353">
        <v>1.131370849898476E-2</v>
      </c>
      <c r="O353">
        <v>-231.2672685880747</v>
      </c>
    </row>
    <row r="354" spans="1:15" hidden="1" x14ac:dyDescent="0.35">
      <c r="A354" t="s">
        <v>23</v>
      </c>
      <c r="B354" t="s">
        <v>299</v>
      </c>
      <c r="C354" t="s">
        <v>317</v>
      </c>
      <c r="D354" t="s">
        <v>321</v>
      </c>
      <c r="E354">
        <v>37</v>
      </c>
      <c r="F354" t="s">
        <v>321</v>
      </c>
      <c r="G354" t="s">
        <v>161</v>
      </c>
      <c r="H354">
        <v>1</v>
      </c>
      <c r="J354">
        <v>-3579931.6147714849</v>
      </c>
      <c r="K354">
        <v>1.6E-2</v>
      </c>
      <c r="L354">
        <v>1.4142135623730949</v>
      </c>
      <c r="M354" t="s">
        <v>353</v>
      </c>
      <c r="N354">
        <v>1.131370849898476E-2</v>
      </c>
      <c r="O354">
        <v>-40502.302735824393</v>
      </c>
    </row>
    <row r="355" spans="1:15" hidden="1" x14ac:dyDescent="0.35">
      <c r="A355" t="s">
        <v>23</v>
      </c>
      <c r="B355" t="s">
        <v>299</v>
      </c>
      <c r="C355" t="s">
        <v>317</v>
      </c>
      <c r="D355" t="s">
        <v>321</v>
      </c>
      <c r="E355">
        <v>38</v>
      </c>
      <c r="F355" t="s">
        <v>321</v>
      </c>
      <c r="G355" t="s">
        <v>215</v>
      </c>
      <c r="H355">
        <v>1</v>
      </c>
      <c r="J355">
        <v>-1048025.121316314</v>
      </c>
      <c r="K355">
        <v>1.6E-2</v>
      </c>
      <c r="L355">
        <v>1.4142135623730949</v>
      </c>
      <c r="M355" t="s">
        <v>353</v>
      </c>
      <c r="N355">
        <v>1.131370849898476E-2</v>
      </c>
      <c r="O355">
        <v>-11857.050722185921</v>
      </c>
    </row>
    <row r="356" spans="1:15" hidden="1" x14ac:dyDescent="0.35">
      <c r="A356" t="s">
        <v>23</v>
      </c>
      <c r="B356" t="s">
        <v>299</v>
      </c>
      <c r="C356" t="s">
        <v>317</v>
      </c>
      <c r="D356" t="s">
        <v>321</v>
      </c>
      <c r="E356">
        <v>39</v>
      </c>
      <c r="F356" t="s">
        <v>321</v>
      </c>
      <c r="G356" t="s">
        <v>217</v>
      </c>
      <c r="H356">
        <v>1</v>
      </c>
      <c r="J356">
        <v>349341.70711319888</v>
      </c>
      <c r="K356">
        <v>1.6E-2</v>
      </c>
      <c r="L356">
        <v>1.4142135623730949</v>
      </c>
      <c r="M356" t="s">
        <v>353</v>
      </c>
      <c r="N356">
        <v>1.131370849898476E-2</v>
      </c>
      <c r="O356">
        <v>3952.3502408164441</v>
      </c>
    </row>
    <row r="357" spans="1:15" hidden="1" x14ac:dyDescent="0.35">
      <c r="A357" t="s">
        <v>23</v>
      </c>
      <c r="B357" t="s">
        <v>299</v>
      </c>
      <c r="C357" t="s">
        <v>317</v>
      </c>
      <c r="D357" t="s">
        <v>321</v>
      </c>
      <c r="E357">
        <v>40</v>
      </c>
      <c r="F357" t="s">
        <v>321</v>
      </c>
      <c r="G357" t="s">
        <v>168</v>
      </c>
      <c r="H357">
        <v>1</v>
      </c>
      <c r="J357">
        <v>-3232412.9277467732</v>
      </c>
      <c r="K357">
        <v>1.6E-2</v>
      </c>
      <c r="L357">
        <v>1.4142135623730949</v>
      </c>
      <c r="M357" t="s">
        <v>353</v>
      </c>
      <c r="N357">
        <v>1.131370849898476E-2</v>
      </c>
      <c r="O357">
        <v>-36570.577612876878</v>
      </c>
    </row>
    <row r="358" spans="1:15" hidden="1" x14ac:dyDescent="0.35">
      <c r="A358" t="s">
        <v>23</v>
      </c>
      <c r="B358" t="s">
        <v>299</v>
      </c>
      <c r="C358" t="s">
        <v>317</v>
      </c>
      <c r="D358" t="s">
        <v>321</v>
      </c>
      <c r="E358">
        <v>41</v>
      </c>
      <c r="F358" t="s">
        <v>321</v>
      </c>
      <c r="G358" t="s">
        <v>170</v>
      </c>
      <c r="H358">
        <v>1</v>
      </c>
      <c r="J358">
        <v>-256176.15786381069</v>
      </c>
      <c r="K358">
        <v>1.6E-2</v>
      </c>
      <c r="L358">
        <v>1.4142135623730949</v>
      </c>
      <c r="M358" t="s">
        <v>353</v>
      </c>
      <c r="N358">
        <v>1.131370849898476E-2</v>
      </c>
      <c r="O358">
        <v>-2898.3023744610568</v>
      </c>
    </row>
    <row r="359" spans="1:15" hidden="1" x14ac:dyDescent="0.35">
      <c r="A359" t="s">
        <v>23</v>
      </c>
      <c r="B359" t="s">
        <v>299</v>
      </c>
      <c r="C359" t="s">
        <v>317</v>
      </c>
      <c r="D359" t="s">
        <v>321</v>
      </c>
      <c r="E359">
        <v>42</v>
      </c>
      <c r="F359" t="s">
        <v>321</v>
      </c>
      <c r="G359" t="s">
        <v>226</v>
      </c>
      <c r="H359">
        <v>1</v>
      </c>
      <c r="J359">
        <v>-472430.14121428132</v>
      </c>
      <c r="K359">
        <v>1.6E-2</v>
      </c>
      <c r="L359">
        <v>1.4142135623730949</v>
      </c>
      <c r="M359" t="s">
        <v>353</v>
      </c>
      <c r="N359">
        <v>1.131370849898476E-2</v>
      </c>
      <c r="O359">
        <v>-5344.9369038325858</v>
      </c>
    </row>
    <row r="360" spans="1:15" hidden="1" x14ac:dyDescent="0.35">
      <c r="A360" t="s">
        <v>23</v>
      </c>
      <c r="B360" t="s">
        <v>299</v>
      </c>
      <c r="C360" t="s">
        <v>317</v>
      </c>
      <c r="D360" t="s">
        <v>321</v>
      </c>
      <c r="E360">
        <v>43</v>
      </c>
      <c r="F360" t="s">
        <v>321</v>
      </c>
      <c r="G360" t="s">
        <v>206</v>
      </c>
      <c r="H360">
        <v>1</v>
      </c>
      <c r="J360">
        <v>-29930864.918828011</v>
      </c>
      <c r="K360">
        <v>1.6E-2</v>
      </c>
      <c r="L360">
        <v>1.4142135623730949</v>
      </c>
      <c r="M360" t="s">
        <v>353</v>
      </c>
      <c r="N360">
        <v>1.131370849898476E-2</v>
      </c>
      <c r="O360">
        <v>-338629.0808141093</v>
      </c>
    </row>
    <row r="361" spans="1:15" hidden="1" x14ac:dyDescent="0.35">
      <c r="A361" t="s">
        <v>23</v>
      </c>
      <c r="B361" t="s">
        <v>299</v>
      </c>
      <c r="C361" t="s">
        <v>317</v>
      </c>
      <c r="D361" t="s">
        <v>321</v>
      </c>
      <c r="E361">
        <v>44</v>
      </c>
      <c r="F361" t="s">
        <v>321</v>
      </c>
      <c r="G361" t="s">
        <v>260</v>
      </c>
      <c r="H361">
        <v>1</v>
      </c>
      <c r="J361">
        <v>-1440923.745781183</v>
      </c>
      <c r="K361">
        <v>1.6E-2</v>
      </c>
      <c r="L361">
        <v>1.4142135623730949</v>
      </c>
      <c r="M361" t="s">
        <v>353</v>
      </c>
      <c r="N361">
        <v>1.131370849898476E-2</v>
      </c>
      <c r="O361">
        <v>-16302.191229033529</v>
      </c>
    </row>
    <row r="362" spans="1:15" hidden="1" x14ac:dyDescent="0.35">
      <c r="A362" t="s">
        <v>23</v>
      </c>
      <c r="B362" t="s">
        <v>299</v>
      </c>
      <c r="C362" t="s">
        <v>317</v>
      </c>
      <c r="D362" t="s">
        <v>321</v>
      </c>
      <c r="E362">
        <v>45</v>
      </c>
      <c r="F362" t="s">
        <v>321</v>
      </c>
      <c r="G362" t="s">
        <v>262</v>
      </c>
      <c r="H362">
        <v>1</v>
      </c>
      <c r="J362">
        <v>-640410.55370122194</v>
      </c>
      <c r="K362">
        <v>1.6E-2</v>
      </c>
      <c r="L362">
        <v>1.4142135623730949</v>
      </c>
      <c r="M362" t="s">
        <v>353</v>
      </c>
      <c r="N362">
        <v>1.131370849898476E-2</v>
      </c>
      <c r="O362">
        <v>-7245.4183242490517</v>
      </c>
    </row>
    <row r="363" spans="1:15" hidden="1" x14ac:dyDescent="0.35">
      <c r="A363" t="s">
        <v>23</v>
      </c>
      <c r="B363" t="s">
        <v>299</v>
      </c>
      <c r="C363" t="s">
        <v>317</v>
      </c>
      <c r="D363" t="s">
        <v>321</v>
      </c>
      <c r="E363">
        <v>46</v>
      </c>
      <c r="F363" t="s">
        <v>321</v>
      </c>
      <c r="G363" t="s">
        <v>185</v>
      </c>
      <c r="H363">
        <v>1</v>
      </c>
      <c r="J363">
        <v>-57353694.567084312</v>
      </c>
      <c r="K363">
        <v>1.6E-2</v>
      </c>
      <c r="L363">
        <v>1.4142135623730949</v>
      </c>
      <c r="M363" t="s">
        <v>353</v>
      </c>
      <c r="N363">
        <v>1.131370849898476E-2</v>
      </c>
      <c r="O363">
        <v>-648882.98167179793</v>
      </c>
    </row>
    <row r="364" spans="1:15" hidden="1" x14ac:dyDescent="0.35">
      <c r="A364" t="s">
        <v>23</v>
      </c>
      <c r="B364" t="s">
        <v>299</v>
      </c>
      <c r="C364" t="s">
        <v>317</v>
      </c>
      <c r="D364" t="s">
        <v>321</v>
      </c>
      <c r="E364">
        <v>47</v>
      </c>
      <c r="F364" t="s">
        <v>321</v>
      </c>
      <c r="G364" t="s">
        <v>187</v>
      </c>
      <c r="H364">
        <v>1</v>
      </c>
      <c r="J364">
        <v>-4897182.5841069221</v>
      </c>
      <c r="K364">
        <v>1.6E-2</v>
      </c>
      <c r="L364">
        <v>1.4142135623730949</v>
      </c>
      <c r="M364" t="s">
        <v>353</v>
      </c>
      <c r="N364">
        <v>1.131370849898476E-2</v>
      </c>
      <c r="O364">
        <v>-55405.296222890647</v>
      </c>
    </row>
    <row r="365" spans="1:15" hidden="1" x14ac:dyDescent="0.35">
      <c r="A365" t="s">
        <v>23</v>
      </c>
      <c r="B365" t="s">
        <v>299</v>
      </c>
      <c r="C365" t="s">
        <v>317</v>
      </c>
      <c r="D365" t="s">
        <v>321</v>
      </c>
      <c r="E365">
        <v>48</v>
      </c>
      <c r="F365" t="s">
        <v>321</v>
      </c>
      <c r="G365" t="s">
        <v>237</v>
      </c>
      <c r="H365">
        <v>1</v>
      </c>
      <c r="J365">
        <v>-649961.77304536104</v>
      </c>
      <c r="K365">
        <v>1.6E-2</v>
      </c>
      <c r="L365">
        <v>1.4142135623730949</v>
      </c>
      <c r="M365" t="s">
        <v>353</v>
      </c>
      <c r="N365">
        <v>1.131370849898476E-2</v>
      </c>
      <c r="O365">
        <v>-7353.4780357185064</v>
      </c>
    </row>
    <row r="366" spans="1:15" hidden="1" x14ac:dyDescent="0.35">
      <c r="A366" t="s">
        <v>23</v>
      </c>
      <c r="B366" t="s">
        <v>299</v>
      </c>
      <c r="C366" t="s">
        <v>317</v>
      </c>
      <c r="D366" t="s">
        <v>321</v>
      </c>
      <c r="E366">
        <v>49</v>
      </c>
      <c r="F366" t="s">
        <v>321</v>
      </c>
      <c r="G366" t="s">
        <v>239</v>
      </c>
      <c r="H366">
        <v>1</v>
      </c>
      <c r="J366">
        <v>-351432.2866499424</v>
      </c>
      <c r="K366">
        <v>1.6E-2</v>
      </c>
      <c r="L366">
        <v>1.4142135623730949</v>
      </c>
      <c r="M366" t="s">
        <v>353</v>
      </c>
      <c r="N366">
        <v>1.131370849898476E-2</v>
      </c>
      <c r="O366">
        <v>-3976.0024482891022</v>
      </c>
    </row>
    <row r="367" spans="1:15" hidden="1" x14ac:dyDescent="0.35">
      <c r="A367" t="s">
        <v>23</v>
      </c>
      <c r="B367" t="s">
        <v>299</v>
      </c>
      <c r="C367" t="s">
        <v>317</v>
      </c>
      <c r="D367" t="s">
        <v>321</v>
      </c>
      <c r="E367">
        <v>50</v>
      </c>
      <c r="F367" t="s">
        <v>321</v>
      </c>
      <c r="G367" t="s">
        <v>197</v>
      </c>
      <c r="H367">
        <v>1</v>
      </c>
      <c r="J367">
        <v>-13791950.425952669</v>
      </c>
      <c r="K367">
        <v>1.6E-2</v>
      </c>
      <c r="L367">
        <v>1.4142135623730949</v>
      </c>
      <c r="M367" t="s">
        <v>353</v>
      </c>
      <c r="N367">
        <v>1.131370849898476E-2</v>
      </c>
      <c r="O367">
        <v>-156038.1067516772</v>
      </c>
    </row>
    <row r="368" spans="1:15" hidden="1" x14ac:dyDescent="0.35">
      <c r="A368" t="s">
        <v>23</v>
      </c>
      <c r="B368" t="s">
        <v>299</v>
      </c>
      <c r="C368" t="s">
        <v>317</v>
      </c>
      <c r="D368" t="s">
        <v>321</v>
      </c>
      <c r="E368">
        <v>51</v>
      </c>
      <c r="F368" t="s">
        <v>321</v>
      </c>
      <c r="G368" t="s">
        <v>251</v>
      </c>
      <c r="H368">
        <v>1</v>
      </c>
      <c r="J368">
        <v>2046787.4648887659</v>
      </c>
      <c r="K368">
        <v>1.6E-2</v>
      </c>
      <c r="L368">
        <v>1.4142135623730949</v>
      </c>
      <c r="M368" t="s">
        <v>353</v>
      </c>
      <c r="N368">
        <v>1.131370849898476E-2</v>
      </c>
      <c r="O368">
        <v>23156.756737127511</v>
      </c>
    </row>
    <row r="369" spans="1:15" hidden="1" x14ac:dyDescent="0.35">
      <c r="A369" t="s">
        <v>23</v>
      </c>
      <c r="B369" t="s">
        <v>299</v>
      </c>
      <c r="C369" t="s">
        <v>317</v>
      </c>
      <c r="D369" t="s">
        <v>321</v>
      </c>
      <c r="E369">
        <v>53</v>
      </c>
      <c r="F369" t="s">
        <v>321</v>
      </c>
      <c r="G369" t="s">
        <v>354</v>
      </c>
      <c r="H369">
        <v>1</v>
      </c>
      <c r="J369">
        <v>15034949.631811401</v>
      </c>
      <c r="K369">
        <v>1.6E-2</v>
      </c>
      <c r="L369">
        <v>1.4142135623730949</v>
      </c>
      <c r="M369" t="s">
        <v>353</v>
      </c>
      <c r="N369">
        <v>1.131370849898476E-2</v>
      </c>
      <c r="O369">
        <v>170101.03743123249</v>
      </c>
    </row>
    <row r="370" spans="1:15" hidden="1" x14ac:dyDescent="0.35">
      <c r="A370" t="s">
        <v>23</v>
      </c>
      <c r="B370" t="s">
        <v>299</v>
      </c>
      <c r="C370" t="s">
        <v>317</v>
      </c>
      <c r="D370" t="s">
        <v>321</v>
      </c>
      <c r="E370">
        <v>55</v>
      </c>
      <c r="F370" t="s">
        <v>321</v>
      </c>
      <c r="G370" t="s">
        <v>355</v>
      </c>
      <c r="H370">
        <v>1</v>
      </c>
      <c r="J370">
        <v>14488485.818873189</v>
      </c>
      <c r="K370">
        <v>1.6E-2</v>
      </c>
      <c r="L370">
        <v>1.4142135623730949</v>
      </c>
      <c r="M370" t="s">
        <v>353</v>
      </c>
      <c r="N370">
        <v>1.131370849898476E-2</v>
      </c>
      <c r="O370">
        <v>163918.50514640581</v>
      </c>
    </row>
    <row r="371" spans="1:15" hidden="1" x14ac:dyDescent="0.35">
      <c r="A371" t="s">
        <v>23</v>
      </c>
      <c r="B371" t="s">
        <v>299</v>
      </c>
      <c r="C371" t="s">
        <v>317</v>
      </c>
      <c r="D371" t="s">
        <v>321</v>
      </c>
      <c r="E371">
        <v>57</v>
      </c>
      <c r="F371" t="s">
        <v>321</v>
      </c>
      <c r="G371" t="s">
        <v>356</v>
      </c>
      <c r="H371">
        <v>1</v>
      </c>
      <c r="J371">
        <v>8287941.3101011319</v>
      </c>
      <c r="K371">
        <v>1.6E-2</v>
      </c>
      <c r="L371">
        <v>1.4142135623730949</v>
      </c>
      <c r="M371" t="s">
        <v>353</v>
      </c>
      <c r="N371">
        <v>1.131370849898476E-2</v>
      </c>
      <c r="O371">
        <v>93767.352039178077</v>
      </c>
    </row>
    <row r="372" spans="1:15" hidden="1" x14ac:dyDescent="0.35">
      <c r="A372" t="s">
        <v>23</v>
      </c>
      <c r="B372" t="s">
        <v>299</v>
      </c>
      <c r="C372" t="s">
        <v>317</v>
      </c>
      <c r="D372" t="s">
        <v>321</v>
      </c>
      <c r="E372">
        <v>58</v>
      </c>
      <c r="F372" t="s">
        <v>321</v>
      </c>
      <c r="G372" t="s">
        <v>357</v>
      </c>
      <c r="H372">
        <v>1</v>
      </c>
      <c r="J372">
        <v>-584019.66197152436</v>
      </c>
      <c r="K372">
        <v>1.6E-2</v>
      </c>
      <c r="L372">
        <v>1.4142135623730949</v>
      </c>
      <c r="M372" t="s">
        <v>353</v>
      </c>
      <c r="N372">
        <v>1.131370849898476E-2</v>
      </c>
      <c r="O372">
        <v>-6607.428213221443</v>
      </c>
    </row>
    <row r="373" spans="1:15" hidden="1" x14ac:dyDescent="0.35">
      <c r="A373" t="s">
        <v>23</v>
      </c>
      <c r="B373" t="s">
        <v>299</v>
      </c>
      <c r="C373" t="s">
        <v>317</v>
      </c>
      <c r="D373" t="s">
        <v>323</v>
      </c>
      <c r="E373">
        <v>1</v>
      </c>
      <c r="F373" t="s">
        <v>323</v>
      </c>
      <c r="G373" t="s">
        <v>322</v>
      </c>
      <c r="H373">
        <v>2</v>
      </c>
      <c r="J373">
        <v>-1230166.244988027</v>
      </c>
      <c r="K373">
        <v>1.2999999999999999E-2</v>
      </c>
      <c r="L373">
        <v>1.4142135623730949</v>
      </c>
      <c r="M373" t="s">
        <v>353</v>
      </c>
      <c r="N373">
        <v>9.1923881554251182E-3</v>
      </c>
      <c r="O373">
        <v>-11308.165619631731</v>
      </c>
    </row>
    <row r="374" spans="1:15" hidden="1" x14ac:dyDescent="0.35">
      <c r="A374" t="s">
        <v>23</v>
      </c>
      <c r="B374" t="s">
        <v>299</v>
      </c>
      <c r="C374" t="s">
        <v>317</v>
      </c>
      <c r="D374" t="s">
        <v>323</v>
      </c>
      <c r="E374">
        <v>2</v>
      </c>
      <c r="F374" t="s">
        <v>323</v>
      </c>
      <c r="G374" t="s">
        <v>319</v>
      </c>
      <c r="H374">
        <v>2</v>
      </c>
      <c r="J374">
        <v>-161173.15653190191</v>
      </c>
      <c r="K374">
        <v>1.2999999999999999E-2</v>
      </c>
      <c r="L374">
        <v>1.4142135623730949</v>
      </c>
      <c r="M374" t="s">
        <v>353</v>
      </c>
      <c r="N374">
        <v>9.1923881554251182E-3</v>
      </c>
      <c r="O374">
        <v>-1481.5662150763339</v>
      </c>
    </row>
    <row r="375" spans="1:15" hidden="1" x14ac:dyDescent="0.35">
      <c r="A375" t="s">
        <v>23</v>
      </c>
      <c r="B375" t="s">
        <v>299</v>
      </c>
      <c r="C375" t="s">
        <v>317</v>
      </c>
      <c r="D375" t="s">
        <v>323</v>
      </c>
      <c r="E375">
        <v>3</v>
      </c>
      <c r="F375" t="s">
        <v>323</v>
      </c>
      <c r="G375" t="s">
        <v>113</v>
      </c>
      <c r="H375">
        <v>2</v>
      </c>
      <c r="J375">
        <v>-247364.76159779381</v>
      </c>
      <c r="K375">
        <v>1.2999999999999999E-2</v>
      </c>
      <c r="L375">
        <v>1.4142135623730949</v>
      </c>
      <c r="M375" t="s">
        <v>353</v>
      </c>
      <c r="N375">
        <v>9.1923881554251182E-3</v>
      </c>
      <c r="O375">
        <v>-2273.8729045811178</v>
      </c>
    </row>
    <row r="376" spans="1:15" hidden="1" x14ac:dyDescent="0.35">
      <c r="A376" t="s">
        <v>23</v>
      </c>
      <c r="B376" t="s">
        <v>299</v>
      </c>
      <c r="C376" t="s">
        <v>317</v>
      </c>
      <c r="D376" t="s">
        <v>323</v>
      </c>
      <c r="E376">
        <v>4</v>
      </c>
      <c r="F376" t="s">
        <v>323</v>
      </c>
      <c r="G376" t="s">
        <v>115</v>
      </c>
      <c r="H376">
        <v>2</v>
      </c>
      <c r="J376">
        <v>-1549357.3015809259</v>
      </c>
      <c r="K376">
        <v>1.2999999999999999E-2</v>
      </c>
      <c r="L376">
        <v>1.4142135623730949</v>
      </c>
      <c r="M376" t="s">
        <v>353</v>
      </c>
      <c r="N376">
        <v>9.1923881554251182E-3</v>
      </c>
      <c r="O376">
        <v>-14242.29370757393</v>
      </c>
    </row>
    <row r="377" spans="1:15" hidden="1" x14ac:dyDescent="0.35">
      <c r="A377" t="s">
        <v>23</v>
      </c>
      <c r="B377" t="s">
        <v>299</v>
      </c>
      <c r="C377" t="s">
        <v>317</v>
      </c>
      <c r="D377" t="s">
        <v>323</v>
      </c>
      <c r="E377">
        <v>6</v>
      </c>
      <c r="F377" t="s">
        <v>323</v>
      </c>
      <c r="G377" t="s">
        <v>117</v>
      </c>
      <c r="H377">
        <v>2</v>
      </c>
      <c r="J377">
        <v>-119396.8695055219</v>
      </c>
      <c r="K377">
        <v>1.2999999999999999E-2</v>
      </c>
      <c r="L377">
        <v>1.4142135623730949</v>
      </c>
      <c r="M377" t="s">
        <v>353</v>
      </c>
      <c r="N377">
        <v>9.1923881554251182E-3</v>
      </c>
      <c r="O377">
        <v>-1097.542369037398</v>
      </c>
    </row>
    <row r="378" spans="1:15" hidden="1" x14ac:dyDescent="0.35">
      <c r="A378" t="s">
        <v>23</v>
      </c>
      <c r="B378" t="s">
        <v>299</v>
      </c>
      <c r="C378" t="s">
        <v>317</v>
      </c>
      <c r="D378" t="s">
        <v>323</v>
      </c>
      <c r="E378">
        <v>7</v>
      </c>
      <c r="F378" t="s">
        <v>323</v>
      </c>
      <c r="G378" t="s">
        <v>144</v>
      </c>
      <c r="H378">
        <v>2</v>
      </c>
      <c r="J378">
        <v>-72348.995891729821</v>
      </c>
      <c r="K378">
        <v>1.2999999999999999E-2</v>
      </c>
      <c r="L378">
        <v>1.4142135623730949</v>
      </c>
      <c r="M378" t="s">
        <v>353</v>
      </c>
      <c r="N378">
        <v>9.1923881554251182E-3</v>
      </c>
      <c r="O378">
        <v>-665.06005289203779</v>
      </c>
    </row>
    <row r="379" spans="1:15" hidden="1" x14ac:dyDescent="0.35">
      <c r="A379" t="s">
        <v>23</v>
      </c>
      <c r="B379" t="s">
        <v>299</v>
      </c>
      <c r="C379" t="s">
        <v>317</v>
      </c>
      <c r="D379" t="s">
        <v>323</v>
      </c>
      <c r="E379">
        <v>8</v>
      </c>
      <c r="F379" t="s">
        <v>323</v>
      </c>
      <c r="G379" t="s">
        <v>93</v>
      </c>
      <c r="H379">
        <v>2</v>
      </c>
      <c r="J379">
        <v>-776267.96407014353</v>
      </c>
      <c r="K379">
        <v>1.2999999999999999E-2</v>
      </c>
      <c r="L379">
        <v>1.4142135623730949</v>
      </c>
      <c r="M379" t="s">
        <v>353</v>
      </c>
      <c r="N379">
        <v>9.1923881554251182E-3</v>
      </c>
      <c r="O379">
        <v>-7135.7564383543586</v>
      </c>
    </row>
    <row r="380" spans="1:15" hidden="1" x14ac:dyDescent="0.35">
      <c r="A380" t="s">
        <v>23</v>
      </c>
      <c r="B380" t="s">
        <v>299</v>
      </c>
      <c r="C380" t="s">
        <v>317</v>
      </c>
      <c r="D380" t="s">
        <v>323</v>
      </c>
      <c r="E380">
        <v>9</v>
      </c>
      <c r="F380" t="s">
        <v>323</v>
      </c>
      <c r="G380" t="s">
        <v>66</v>
      </c>
      <c r="H380">
        <v>2</v>
      </c>
      <c r="J380">
        <v>-299792.92851140827</v>
      </c>
      <c r="K380">
        <v>1.2999999999999999E-2</v>
      </c>
      <c r="L380">
        <v>1.4142135623730949</v>
      </c>
      <c r="M380" t="s">
        <v>353</v>
      </c>
      <c r="N380">
        <v>9.1923881554251182E-3</v>
      </c>
      <c r="O380">
        <v>-2755.812965128478</v>
      </c>
    </row>
    <row r="381" spans="1:15" hidden="1" x14ac:dyDescent="0.35">
      <c r="A381" t="s">
        <v>23</v>
      </c>
      <c r="B381" t="s">
        <v>299</v>
      </c>
      <c r="C381" t="s">
        <v>317</v>
      </c>
      <c r="D381" t="s">
        <v>323</v>
      </c>
      <c r="E381">
        <v>10</v>
      </c>
      <c r="F381" t="s">
        <v>323</v>
      </c>
      <c r="G381" t="s">
        <v>68</v>
      </c>
      <c r="H381">
        <v>2</v>
      </c>
      <c r="J381">
        <v>-612214.53278102446</v>
      </c>
      <c r="K381">
        <v>1.2999999999999999E-2</v>
      </c>
      <c r="L381">
        <v>1.4142135623730949</v>
      </c>
      <c r="M381" t="s">
        <v>353</v>
      </c>
      <c r="N381">
        <v>9.1923881554251182E-3</v>
      </c>
      <c r="O381">
        <v>-5627.7136197154123</v>
      </c>
    </row>
    <row r="382" spans="1:15" hidden="1" x14ac:dyDescent="0.35">
      <c r="A382" t="s">
        <v>23</v>
      </c>
      <c r="B382" t="s">
        <v>299</v>
      </c>
      <c r="C382" t="s">
        <v>317</v>
      </c>
      <c r="D382" t="s">
        <v>323</v>
      </c>
      <c r="E382">
        <v>11</v>
      </c>
      <c r="F382" t="s">
        <v>323</v>
      </c>
      <c r="G382" t="s">
        <v>70</v>
      </c>
      <c r="H382">
        <v>2</v>
      </c>
      <c r="J382">
        <v>-80585.988695872846</v>
      </c>
      <c r="K382">
        <v>1.2999999999999999E-2</v>
      </c>
      <c r="L382">
        <v>1.4142135623730949</v>
      </c>
      <c r="M382" t="s">
        <v>353</v>
      </c>
      <c r="N382">
        <v>9.1923881554251182E-3</v>
      </c>
      <c r="O382">
        <v>-740.77768798116404</v>
      </c>
    </row>
    <row r="383" spans="1:15" hidden="1" x14ac:dyDescent="0.35">
      <c r="A383" t="s">
        <v>23</v>
      </c>
      <c r="B383" t="s">
        <v>299</v>
      </c>
      <c r="C383" t="s">
        <v>317</v>
      </c>
      <c r="D383" t="s">
        <v>323</v>
      </c>
      <c r="E383">
        <v>12</v>
      </c>
      <c r="F383" t="s">
        <v>323</v>
      </c>
      <c r="G383" t="s">
        <v>95</v>
      </c>
      <c r="H383">
        <v>2</v>
      </c>
      <c r="J383">
        <v>-49744.515548013624</v>
      </c>
      <c r="K383">
        <v>1.2999999999999999E-2</v>
      </c>
      <c r="L383">
        <v>1.4142135623730949</v>
      </c>
      <c r="M383" t="s">
        <v>353</v>
      </c>
      <c r="N383">
        <v>9.1923881554251182E-3</v>
      </c>
      <c r="O383">
        <v>-457.27089552092099</v>
      </c>
    </row>
    <row r="384" spans="1:15" hidden="1" x14ac:dyDescent="0.35">
      <c r="A384" t="s">
        <v>23</v>
      </c>
      <c r="B384" t="s">
        <v>299</v>
      </c>
      <c r="C384" t="s">
        <v>317</v>
      </c>
      <c r="D384" t="s">
        <v>323</v>
      </c>
      <c r="E384">
        <v>14</v>
      </c>
      <c r="F384" t="s">
        <v>323</v>
      </c>
      <c r="G384" t="s">
        <v>119</v>
      </c>
      <c r="H384">
        <v>2</v>
      </c>
      <c r="J384">
        <v>-418488.93659448548</v>
      </c>
      <c r="K384">
        <v>1.2999999999999999E-2</v>
      </c>
      <c r="L384">
        <v>1.4142135623730949</v>
      </c>
      <c r="M384" t="s">
        <v>353</v>
      </c>
      <c r="N384">
        <v>9.1923881554251182E-3</v>
      </c>
      <c r="O384">
        <v>-3846.9127439276022</v>
      </c>
    </row>
    <row r="385" spans="1:15" hidden="1" x14ac:dyDescent="0.35">
      <c r="A385" t="s">
        <v>23</v>
      </c>
      <c r="B385" t="s">
        <v>299</v>
      </c>
      <c r="C385" t="s">
        <v>317</v>
      </c>
      <c r="D385" t="s">
        <v>323</v>
      </c>
      <c r="E385">
        <v>15</v>
      </c>
      <c r="F385" t="s">
        <v>323</v>
      </c>
      <c r="G385" t="s">
        <v>121</v>
      </c>
      <c r="H385">
        <v>2</v>
      </c>
      <c r="J385">
        <v>-70719.802243218059</v>
      </c>
      <c r="K385">
        <v>1.2999999999999999E-2</v>
      </c>
      <c r="L385">
        <v>1.4142135623730949</v>
      </c>
      <c r="M385" t="s">
        <v>353</v>
      </c>
      <c r="N385">
        <v>9.1923881554251182E-3</v>
      </c>
      <c r="O385">
        <v>-650.08387249456439</v>
      </c>
    </row>
    <row r="386" spans="1:15" hidden="1" x14ac:dyDescent="0.35">
      <c r="A386" t="s">
        <v>23</v>
      </c>
      <c r="B386" t="s">
        <v>299</v>
      </c>
      <c r="C386" t="s">
        <v>317</v>
      </c>
      <c r="D386" t="s">
        <v>323</v>
      </c>
      <c r="E386">
        <v>16</v>
      </c>
      <c r="F386" t="s">
        <v>323</v>
      </c>
      <c r="G386" t="s">
        <v>97</v>
      </c>
      <c r="H386">
        <v>2</v>
      </c>
      <c r="J386">
        <v>-60267.582133803888</v>
      </c>
      <c r="K386">
        <v>1.2999999999999999E-2</v>
      </c>
      <c r="L386">
        <v>1.4142135623730949</v>
      </c>
      <c r="M386" t="s">
        <v>353</v>
      </c>
      <c r="N386">
        <v>9.1923881554251182E-3</v>
      </c>
      <c r="O386">
        <v>-554.00300816288927</v>
      </c>
    </row>
    <row r="387" spans="1:15" hidden="1" x14ac:dyDescent="0.35">
      <c r="A387" t="s">
        <v>23</v>
      </c>
      <c r="B387" t="s">
        <v>299</v>
      </c>
      <c r="C387" t="s">
        <v>317</v>
      </c>
      <c r="D387" t="s">
        <v>323</v>
      </c>
      <c r="E387">
        <v>18</v>
      </c>
      <c r="F387" t="s">
        <v>323</v>
      </c>
      <c r="G387" t="s">
        <v>72</v>
      </c>
      <c r="H387">
        <v>2</v>
      </c>
      <c r="J387">
        <v>-182602.55991862089</v>
      </c>
      <c r="K387">
        <v>1.2999999999999999E-2</v>
      </c>
      <c r="L387">
        <v>1.4142135623730949</v>
      </c>
      <c r="M387" t="s">
        <v>353</v>
      </c>
      <c r="N387">
        <v>9.1923881554251182E-3</v>
      </c>
      <c r="O387">
        <v>-1678.553608946236</v>
      </c>
    </row>
    <row r="388" spans="1:15" hidden="1" x14ac:dyDescent="0.35">
      <c r="A388" t="s">
        <v>23</v>
      </c>
      <c r="B388" t="s">
        <v>299</v>
      </c>
      <c r="C388" t="s">
        <v>317</v>
      </c>
      <c r="D388" t="s">
        <v>323</v>
      </c>
      <c r="E388">
        <v>19</v>
      </c>
      <c r="F388" t="s">
        <v>323</v>
      </c>
      <c r="G388" t="s">
        <v>123</v>
      </c>
      <c r="H388">
        <v>2</v>
      </c>
      <c r="J388">
        <v>-119232.1289586857</v>
      </c>
      <c r="K388">
        <v>1.2999999999999999E-2</v>
      </c>
      <c r="L388">
        <v>1.4142135623730949</v>
      </c>
      <c r="M388" t="s">
        <v>353</v>
      </c>
      <c r="N388">
        <v>9.1923881554251182E-3</v>
      </c>
      <c r="O388">
        <v>-1096.0280099859431</v>
      </c>
    </row>
    <row r="389" spans="1:15" hidden="1" x14ac:dyDescent="0.35">
      <c r="A389" t="s">
        <v>23</v>
      </c>
      <c r="B389" t="s">
        <v>299</v>
      </c>
      <c r="C389" t="s">
        <v>317</v>
      </c>
      <c r="D389" t="s">
        <v>323</v>
      </c>
      <c r="E389">
        <v>20</v>
      </c>
      <c r="F389" t="s">
        <v>323</v>
      </c>
      <c r="G389" t="s">
        <v>58</v>
      </c>
      <c r="H389">
        <v>2</v>
      </c>
      <c r="J389">
        <v>-1297033.2647489039</v>
      </c>
      <c r="K389">
        <v>1.2999999999999999E-2</v>
      </c>
      <c r="L389">
        <v>1.4142135623730949</v>
      </c>
      <c r="M389" t="s">
        <v>353</v>
      </c>
      <c r="N389">
        <v>9.1923881554251182E-3</v>
      </c>
      <c r="O389">
        <v>-11922.833220070201</v>
      </c>
    </row>
    <row r="390" spans="1:15" hidden="1" x14ac:dyDescent="0.35">
      <c r="A390" t="s">
        <v>23</v>
      </c>
      <c r="B390" t="s">
        <v>299</v>
      </c>
      <c r="C390" t="s">
        <v>317</v>
      </c>
      <c r="D390" t="s">
        <v>323</v>
      </c>
      <c r="E390">
        <v>21</v>
      </c>
      <c r="F390" t="s">
        <v>323</v>
      </c>
      <c r="G390" t="s">
        <v>148</v>
      </c>
      <c r="H390">
        <v>2</v>
      </c>
      <c r="J390">
        <v>-751876.85969916626</v>
      </c>
      <c r="K390">
        <v>1.2999999999999999E-2</v>
      </c>
      <c r="L390">
        <v>1.4142135623730949</v>
      </c>
      <c r="M390" t="s">
        <v>353</v>
      </c>
      <c r="N390">
        <v>9.1923881554251182E-3</v>
      </c>
      <c r="O390">
        <v>-6911.5439394368505</v>
      </c>
    </row>
    <row r="391" spans="1:15" hidden="1" x14ac:dyDescent="0.35">
      <c r="A391" t="s">
        <v>23</v>
      </c>
      <c r="B391" t="s">
        <v>299</v>
      </c>
      <c r="C391" t="s">
        <v>317</v>
      </c>
      <c r="D391" t="s">
        <v>323</v>
      </c>
      <c r="E391">
        <v>22</v>
      </c>
      <c r="F391" t="s">
        <v>323</v>
      </c>
      <c r="G391" t="s">
        <v>74</v>
      </c>
      <c r="H391">
        <v>2</v>
      </c>
      <c r="J391">
        <v>-45209.357251621892</v>
      </c>
      <c r="K391">
        <v>1.2999999999999999E-2</v>
      </c>
      <c r="L391">
        <v>1.4142135623730949</v>
      </c>
      <c r="M391" t="s">
        <v>353</v>
      </c>
      <c r="N391">
        <v>9.1923881554251182E-3</v>
      </c>
      <c r="O391">
        <v>-415.58196011419182</v>
      </c>
    </row>
    <row r="392" spans="1:15" hidden="1" x14ac:dyDescent="0.35">
      <c r="A392" t="s">
        <v>23</v>
      </c>
      <c r="B392" t="s">
        <v>299</v>
      </c>
      <c r="C392" t="s">
        <v>317</v>
      </c>
      <c r="D392" t="s">
        <v>323</v>
      </c>
      <c r="E392">
        <v>37</v>
      </c>
      <c r="F392" t="s">
        <v>323</v>
      </c>
      <c r="G392" t="s">
        <v>161</v>
      </c>
      <c r="H392">
        <v>2</v>
      </c>
      <c r="J392">
        <v>-15203467.173650861</v>
      </c>
      <c r="K392">
        <v>1.2999999999999999E-2</v>
      </c>
      <c r="L392">
        <v>1.4142135623730949</v>
      </c>
      <c r="M392" t="s">
        <v>353</v>
      </c>
      <c r="N392">
        <v>9.1923881554251182E-3</v>
      </c>
      <c r="O392">
        <v>-139756.1715684628</v>
      </c>
    </row>
    <row r="393" spans="1:15" hidden="1" x14ac:dyDescent="0.35">
      <c r="A393" t="s">
        <v>23</v>
      </c>
      <c r="B393" t="s">
        <v>299</v>
      </c>
      <c r="C393" t="s">
        <v>317</v>
      </c>
      <c r="D393" t="s">
        <v>323</v>
      </c>
      <c r="E393">
        <v>38</v>
      </c>
      <c r="F393" t="s">
        <v>323</v>
      </c>
      <c r="G393" t="s">
        <v>215</v>
      </c>
      <c r="H393">
        <v>2</v>
      </c>
      <c r="J393">
        <v>-4329605.2482910454</v>
      </c>
      <c r="K393">
        <v>1.2999999999999999E-2</v>
      </c>
      <c r="L393">
        <v>1.4142135623730949</v>
      </c>
      <c r="M393" t="s">
        <v>353</v>
      </c>
      <c r="N393">
        <v>9.1923881554251182E-3</v>
      </c>
      <c r="O393">
        <v>-39799.412002057034</v>
      </c>
    </row>
    <row r="394" spans="1:15" hidden="1" x14ac:dyDescent="0.35">
      <c r="A394" t="s">
        <v>23</v>
      </c>
      <c r="B394" t="s">
        <v>299</v>
      </c>
      <c r="C394" t="s">
        <v>317</v>
      </c>
      <c r="D394" t="s">
        <v>323</v>
      </c>
      <c r="E394">
        <v>39</v>
      </c>
      <c r="F394" t="s">
        <v>323</v>
      </c>
      <c r="G394" t="s">
        <v>217</v>
      </c>
      <c r="H394">
        <v>2</v>
      </c>
      <c r="J394">
        <v>1443201.7494365571</v>
      </c>
      <c r="K394">
        <v>1.2999999999999999E-2</v>
      </c>
      <c r="L394">
        <v>1.4142135623730949</v>
      </c>
      <c r="M394" t="s">
        <v>353</v>
      </c>
      <c r="N394">
        <v>9.1923881554251182E-3</v>
      </c>
      <c r="O394">
        <v>13266.47066740942</v>
      </c>
    </row>
    <row r="395" spans="1:15" hidden="1" x14ac:dyDescent="0.35">
      <c r="A395" t="s">
        <v>23</v>
      </c>
      <c r="B395" t="s">
        <v>299</v>
      </c>
      <c r="C395" t="s">
        <v>317</v>
      </c>
      <c r="D395" t="s">
        <v>323</v>
      </c>
      <c r="E395">
        <v>40</v>
      </c>
      <c r="F395" t="s">
        <v>323</v>
      </c>
      <c r="G395" t="s">
        <v>168</v>
      </c>
      <c r="H395">
        <v>2</v>
      </c>
      <c r="J395">
        <v>-7097298.9362478256</v>
      </c>
      <c r="K395">
        <v>1.2999999999999999E-2</v>
      </c>
      <c r="L395">
        <v>1.4142135623730949</v>
      </c>
      <c r="M395" t="s">
        <v>353</v>
      </c>
      <c r="N395">
        <v>9.1923881554251182E-3</v>
      </c>
      <c r="O395">
        <v>-65241.126677075801</v>
      </c>
    </row>
    <row r="396" spans="1:15" hidden="1" x14ac:dyDescent="0.35">
      <c r="A396" t="s">
        <v>23</v>
      </c>
      <c r="B396" t="s">
        <v>299</v>
      </c>
      <c r="C396" t="s">
        <v>317</v>
      </c>
      <c r="D396" t="s">
        <v>323</v>
      </c>
      <c r="E396">
        <v>41</v>
      </c>
      <c r="F396" t="s">
        <v>323</v>
      </c>
      <c r="G396" t="s">
        <v>170</v>
      </c>
      <c r="H396">
        <v>2</v>
      </c>
      <c r="J396">
        <v>-558646.92966453731</v>
      </c>
      <c r="K396">
        <v>1.2999999999999999E-2</v>
      </c>
      <c r="L396">
        <v>1.4142135623730949</v>
      </c>
      <c r="M396" t="s">
        <v>353</v>
      </c>
      <c r="N396">
        <v>9.1923881554251182E-3</v>
      </c>
      <c r="O396">
        <v>-5135.2994193129016</v>
      </c>
    </row>
    <row r="397" spans="1:15" hidden="1" x14ac:dyDescent="0.35">
      <c r="A397" t="s">
        <v>23</v>
      </c>
      <c r="B397" t="s">
        <v>299</v>
      </c>
      <c r="C397" t="s">
        <v>317</v>
      </c>
      <c r="D397" t="s">
        <v>323</v>
      </c>
      <c r="E397">
        <v>42</v>
      </c>
      <c r="F397" t="s">
        <v>323</v>
      </c>
      <c r="G397" t="s">
        <v>226</v>
      </c>
      <c r="H397">
        <v>2</v>
      </c>
      <c r="J397">
        <v>-1017860.648129135</v>
      </c>
      <c r="K397">
        <v>1.2999999999999999E-2</v>
      </c>
      <c r="L397">
        <v>1.4142135623730949</v>
      </c>
      <c r="M397" t="s">
        <v>353</v>
      </c>
      <c r="N397">
        <v>9.1923881554251182E-3</v>
      </c>
      <c r="O397">
        <v>-9356.5701657355949</v>
      </c>
    </row>
    <row r="398" spans="1:15" hidden="1" x14ac:dyDescent="0.35">
      <c r="A398" t="s">
        <v>23</v>
      </c>
      <c r="B398" t="s">
        <v>299</v>
      </c>
      <c r="C398" t="s">
        <v>317</v>
      </c>
      <c r="D398" t="s">
        <v>323</v>
      </c>
      <c r="E398">
        <v>43</v>
      </c>
      <c r="F398" t="s">
        <v>323</v>
      </c>
      <c r="G398" t="s">
        <v>206</v>
      </c>
      <c r="H398">
        <v>2</v>
      </c>
      <c r="J398">
        <v>-63813410.875201233</v>
      </c>
      <c r="K398">
        <v>1.2999999999999999E-2</v>
      </c>
      <c r="L398">
        <v>1.4142135623730949</v>
      </c>
      <c r="M398" t="s">
        <v>353</v>
      </c>
      <c r="N398">
        <v>9.1923881554251182E-3</v>
      </c>
      <c r="O398">
        <v>-586597.64228647621</v>
      </c>
    </row>
    <row r="399" spans="1:15" hidden="1" x14ac:dyDescent="0.35">
      <c r="A399" t="s">
        <v>23</v>
      </c>
      <c r="B399" t="s">
        <v>299</v>
      </c>
      <c r="C399" t="s">
        <v>317</v>
      </c>
      <c r="D399" t="s">
        <v>323</v>
      </c>
      <c r="E399">
        <v>44</v>
      </c>
      <c r="F399" t="s">
        <v>323</v>
      </c>
      <c r="G399" t="s">
        <v>260</v>
      </c>
      <c r="H399">
        <v>2</v>
      </c>
      <c r="J399">
        <v>-7319799.6837645769</v>
      </c>
      <c r="K399">
        <v>1.2999999999999999E-2</v>
      </c>
      <c r="L399">
        <v>1.4142135623730949</v>
      </c>
      <c r="M399" t="s">
        <v>353</v>
      </c>
      <c r="N399">
        <v>9.1923881554251182E-3</v>
      </c>
      <c r="O399">
        <v>-67286.439913122027</v>
      </c>
    </row>
    <row r="400" spans="1:15" hidden="1" x14ac:dyDescent="0.35">
      <c r="A400" t="s">
        <v>23</v>
      </c>
      <c r="B400" t="s">
        <v>299</v>
      </c>
      <c r="C400" t="s">
        <v>317</v>
      </c>
      <c r="D400" t="s">
        <v>323</v>
      </c>
      <c r="E400">
        <v>45</v>
      </c>
      <c r="F400" t="s">
        <v>323</v>
      </c>
      <c r="G400" t="s">
        <v>262</v>
      </c>
      <c r="H400">
        <v>2</v>
      </c>
      <c r="J400">
        <v>-3253244.3039119239</v>
      </c>
      <c r="K400">
        <v>1.2999999999999999E-2</v>
      </c>
      <c r="L400">
        <v>1.4142135623730949</v>
      </c>
      <c r="M400" t="s">
        <v>353</v>
      </c>
      <c r="N400">
        <v>9.1923881554251182E-3</v>
      </c>
      <c r="O400">
        <v>-29905.084405984198</v>
      </c>
    </row>
    <row r="401" spans="1:15" hidden="1" x14ac:dyDescent="0.35">
      <c r="A401" t="s">
        <v>23</v>
      </c>
      <c r="B401" t="s">
        <v>299</v>
      </c>
      <c r="C401" t="s">
        <v>317</v>
      </c>
      <c r="D401" t="s">
        <v>323</v>
      </c>
      <c r="E401">
        <v>47</v>
      </c>
      <c r="F401" t="s">
        <v>323</v>
      </c>
      <c r="G401" t="s">
        <v>187</v>
      </c>
      <c r="H401">
        <v>2</v>
      </c>
      <c r="J401">
        <v>-108854685.8868003</v>
      </c>
      <c r="K401">
        <v>1.2999999999999999E-2</v>
      </c>
      <c r="L401">
        <v>1.4142135623730949</v>
      </c>
      <c r="M401" t="s">
        <v>353</v>
      </c>
      <c r="N401">
        <v>9.1923881554251182E-3</v>
      </c>
      <c r="O401">
        <v>-1000634.525208345</v>
      </c>
    </row>
    <row r="402" spans="1:15" hidden="1" x14ac:dyDescent="0.35">
      <c r="A402" t="s">
        <v>23</v>
      </c>
      <c r="B402" t="s">
        <v>299</v>
      </c>
      <c r="C402" t="s">
        <v>317</v>
      </c>
      <c r="D402" t="s">
        <v>323</v>
      </c>
      <c r="E402">
        <v>48</v>
      </c>
      <c r="F402" t="s">
        <v>323</v>
      </c>
      <c r="G402" t="s">
        <v>237</v>
      </c>
      <c r="H402">
        <v>2</v>
      </c>
      <c r="J402">
        <v>-14375878.492854539</v>
      </c>
      <c r="K402">
        <v>1.2999999999999999E-2</v>
      </c>
      <c r="L402">
        <v>1.4142135623730949</v>
      </c>
      <c r="M402" t="s">
        <v>353</v>
      </c>
      <c r="N402">
        <v>9.1923881554251182E-3</v>
      </c>
      <c r="O402">
        <v>-132148.65518154681</v>
      </c>
    </row>
    <row r="403" spans="1:15" hidden="1" x14ac:dyDescent="0.35">
      <c r="A403" t="s">
        <v>23</v>
      </c>
      <c r="B403" t="s">
        <v>299</v>
      </c>
      <c r="C403" t="s">
        <v>317</v>
      </c>
      <c r="D403" t="s">
        <v>323</v>
      </c>
      <c r="E403">
        <v>49</v>
      </c>
      <c r="F403" t="s">
        <v>323</v>
      </c>
      <c r="G403" t="s">
        <v>239</v>
      </c>
      <c r="H403">
        <v>2</v>
      </c>
      <c r="J403">
        <v>-7630927.7845360339</v>
      </c>
      <c r="K403">
        <v>1.2999999999999999E-2</v>
      </c>
      <c r="L403">
        <v>1.4142135623730949</v>
      </c>
      <c r="M403" t="s">
        <v>353</v>
      </c>
      <c r="N403">
        <v>9.1923881554251182E-3</v>
      </c>
      <c r="O403">
        <v>-70146.450181473483</v>
      </c>
    </row>
    <row r="404" spans="1:15" hidden="1" x14ac:dyDescent="0.35">
      <c r="A404" t="s">
        <v>23</v>
      </c>
      <c r="B404" t="s">
        <v>299</v>
      </c>
      <c r="C404" t="s">
        <v>317</v>
      </c>
      <c r="D404" t="s">
        <v>323</v>
      </c>
      <c r="E404">
        <v>50</v>
      </c>
      <c r="F404" t="s">
        <v>323</v>
      </c>
      <c r="G404" t="s">
        <v>197</v>
      </c>
      <c r="H404">
        <v>2</v>
      </c>
      <c r="J404">
        <v>-29525526.937246319</v>
      </c>
      <c r="K404">
        <v>1.2999999999999999E-2</v>
      </c>
      <c r="L404">
        <v>1.4142135623730949</v>
      </c>
      <c r="M404" t="s">
        <v>353</v>
      </c>
      <c r="N404">
        <v>9.1923881554251182E-3</v>
      </c>
      <c r="O404">
        <v>-271410.10410062829</v>
      </c>
    </row>
    <row r="405" spans="1:15" hidden="1" x14ac:dyDescent="0.35">
      <c r="A405" t="s">
        <v>23</v>
      </c>
      <c r="B405" t="s">
        <v>299</v>
      </c>
      <c r="C405" t="s">
        <v>317</v>
      </c>
      <c r="D405" t="s">
        <v>323</v>
      </c>
      <c r="E405">
        <v>51</v>
      </c>
      <c r="F405" t="s">
        <v>323</v>
      </c>
      <c r="G405" t="s">
        <v>251</v>
      </c>
      <c r="H405">
        <v>2</v>
      </c>
      <c r="J405">
        <v>4347640.8607792109</v>
      </c>
      <c r="K405">
        <v>1.2999999999999999E-2</v>
      </c>
      <c r="L405">
        <v>1.4142135623730949</v>
      </c>
      <c r="M405" t="s">
        <v>353</v>
      </c>
      <c r="N405">
        <v>9.1923881554251182E-3</v>
      </c>
      <c r="O405">
        <v>39965.202352669083</v>
      </c>
    </row>
    <row r="406" spans="1:15" hidden="1" x14ac:dyDescent="0.35">
      <c r="A406" t="s">
        <v>23</v>
      </c>
      <c r="B406" t="s">
        <v>299</v>
      </c>
      <c r="C406" t="s">
        <v>317</v>
      </c>
      <c r="D406" t="s">
        <v>323</v>
      </c>
      <c r="E406">
        <v>55</v>
      </c>
      <c r="F406" t="s">
        <v>323</v>
      </c>
      <c r="G406" t="s">
        <v>355</v>
      </c>
      <c r="H406">
        <v>2</v>
      </c>
      <c r="J406">
        <v>1669397.5891470809</v>
      </c>
      <c r="K406">
        <v>1.2999999999999999E-2</v>
      </c>
      <c r="L406">
        <v>1.4142135623730949</v>
      </c>
      <c r="M406" t="s">
        <v>353</v>
      </c>
      <c r="N406">
        <v>9.1923881554251182E-3</v>
      </c>
      <c r="O406">
        <v>15345.750625170869</v>
      </c>
    </row>
    <row r="407" spans="1:15" hidden="1" x14ac:dyDescent="0.35">
      <c r="A407" t="s">
        <v>23</v>
      </c>
      <c r="B407" t="s">
        <v>299</v>
      </c>
      <c r="C407" t="s">
        <v>317</v>
      </c>
      <c r="D407" t="s">
        <v>323</v>
      </c>
      <c r="E407">
        <v>57</v>
      </c>
      <c r="F407" t="s">
        <v>323</v>
      </c>
      <c r="G407" t="s">
        <v>356</v>
      </c>
      <c r="H407">
        <v>2</v>
      </c>
      <c r="J407">
        <v>5343331.4302253621</v>
      </c>
      <c r="K407">
        <v>1.2999999999999999E-2</v>
      </c>
      <c r="L407">
        <v>1.4142135623730949</v>
      </c>
      <c r="M407" t="s">
        <v>353</v>
      </c>
      <c r="N407">
        <v>9.1923881554251182E-3</v>
      </c>
      <c r="O407">
        <v>49117.976549714367</v>
      </c>
    </row>
    <row r="408" spans="1:15" hidden="1" x14ac:dyDescent="0.35">
      <c r="A408" t="s">
        <v>23</v>
      </c>
      <c r="B408" t="s">
        <v>299</v>
      </c>
      <c r="C408" t="s">
        <v>317</v>
      </c>
      <c r="D408" t="s">
        <v>323</v>
      </c>
      <c r="E408">
        <v>58</v>
      </c>
      <c r="F408" t="s">
        <v>323</v>
      </c>
      <c r="G408" t="s">
        <v>357</v>
      </c>
      <c r="H408">
        <v>2</v>
      </c>
      <c r="J408">
        <v>-1301159.8984462579</v>
      </c>
      <c r="K408">
        <v>1.2999999999999999E-2</v>
      </c>
      <c r="L408">
        <v>1.4142135623730949</v>
      </c>
      <c r="M408" t="s">
        <v>353</v>
      </c>
      <c r="N408">
        <v>9.1923881554251182E-3</v>
      </c>
      <c r="O408">
        <v>-11960.766838791529</v>
      </c>
    </row>
    <row r="409" spans="1:15" hidden="1" x14ac:dyDescent="0.35">
      <c r="A409" t="s">
        <v>23</v>
      </c>
      <c r="B409" t="s">
        <v>299</v>
      </c>
      <c r="C409" t="s">
        <v>317</v>
      </c>
      <c r="D409" t="s">
        <v>324</v>
      </c>
      <c r="E409">
        <v>2</v>
      </c>
      <c r="F409" t="s">
        <v>324</v>
      </c>
      <c r="G409" t="s">
        <v>319</v>
      </c>
      <c r="H409">
        <v>3</v>
      </c>
      <c r="J409">
        <v>-4574683.0008674515</v>
      </c>
      <c r="K409">
        <v>1.2E-2</v>
      </c>
      <c r="L409">
        <v>1.4142135623730949</v>
      </c>
      <c r="M409" t="s">
        <v>353</v>
      </c>
      <c r="N409">
        <v>8.4852813742385715E-3</v>
      </c>
      <c r="O409">
        <v>-38817.472460306402</v>
      </c>
    </row>
    <row r="410" spans="1:15" hidden="1" x14ac:dyDescent="0.35">
      <c r="A410" t="s">
        <v>23</v>
      </c>
      <c r="B410" t="s">
        <v>299</v>
      </c>
      <c r="C410" t="s">
        <v>317</v>
      </c>
      <c r="D410" t="s">
        <v>324</v>
      </c>
      <c r="E410">
        <v>4</v>
      </c>
      <c r="F410" t="s">
        <v>324</v>
      </c>
      <c r="G410" t="s">
        <v>115</v>
      </c>
      <c r="H410">
        <v>3</v>
      </c>
      <c r="J410">
        <v>-38927.482509848232</v>
      </c>
      <c r="K410">
        <v>1.2E-2</v>
      </c>
      <c r="L410">
        <v>1.4142135623730949</v>
      </c>
      <c r="M410" t="s">
        <v>353</v>
      </c>
      <c r="N410">
        <v>8.4852813742385715E-3</v>
      </c>
      <c r="O410">
        <v>-330.31064228681299</v>
      </c>
    </row>
    <row r="411" spans="1:15" hidden="1" x14ac:dyDescent="0.35">
      <c r="A411" t="s">
        <v>23</v>
      </c>
      <c r="B411" t="s">
        <v>299</v>
      </c>
      <c r="C411" t="s">
        <v>317</v>
      </c>
      <c r="D411" t="s">
        <v>324</v>
      </c>
      <c r="E411">
        <v>6</v>
      </c>
      <c r="F411" t="s">
        <v>324</v>
      </c>
      <c r="G411" t="s">
        <v>117</v>
      </c>
      <c r="H411">
        <v>3</v>
      </c>
      <c r="J411">
        <v>-1841000.9457243739</v>
      </c>
      <c r="K411">
        <v>1.2E-2</v>
      </c>
      <c r="L411">
        <v>1.4142135623730949</v>
      </c>
      <c r="M411" t="s">
        <v>353</v>
      </c>
      <c r="N411">
        <v>8.4852813742385715E-3</v>
      </c>
      <c r="O411">
        <v>-15621.411034710631</v>
      </c>
    </row>
    <row r="412" spans="1:15" hidden="1" x14ac:dyDescent="0.35">
      <c r="A412" t="s">
        <v>23</v>
      </c>
      <c r="B412" t="s">
        <v>299</v>
      </c>
      <c r="C412" t="s">
        <v>317</v>
      </c>
      <c r="D412" t="s">
        <v>324</v>
      </c>
      <c r="E412">
        <v>7</v>
      </c>
      <c r="F412" t="s">
        <v>324</v>
      </c>
      <c r="G412" t="s">
        <v>144</v>
      </c>
      <c r="H412">
        <v>3</v>
      </c>
      <c r="J412">
        <v>-1304036.074720443</v>
      </c>
      <c r="K412">
        <v>1.2E-2</v>
      </c>
      <c r="L412">
        <v>1.4142135623730949</v>
      </c>
      <c r="M412" t="s">
        <v>353</v>
      </c>
      <c r="N412">
        <v>8.4852813742385715E-3</v>
      </c>
      <c r="O412">
        <v>-11065.113016160551</v>
      </c>
    </row>
    <row r="413" spans="1:15" hidden="1" x14ac:dyDescent="0.35">
      <c r="A413" t="s">
        <v>23</v>
      </c>
      <c r="B413" t="s">
        <v>299</v>
      </c>
      <c r="C413" t="s">
        <v>317</v>
      </c>
      <c r="D413" t="s">
        <v>324</v>
      </c>
      <c r="E413">
        <v>9</v>
      </c>
      <c r="F413" t="s">
        <v>324</v>
      </c>
      <c r="G413" t="s">
        <v>66</v>
      </c>
      <c r="H413">
        <v>3</v>
      </c>
      <c r="J413">
        <v>-901953.03290096263</v>
      </c>
      <c r="K413">
        <v>1.2E-2</v>
      </c>
      <c r="L413">
        <v>1.4142135623730949</v>
      </c>
      <c r="M413" t="s">
        <v>353</v>
      </c>
      <c r="N413">
        <v>8.4852813742385715E-3</v>
      </c>
      <c r="O413">
        <v>-7653.3252705125278</v>
      </c>
    </row>
    <row r="414" spans="1:15" hidden="1" x14ac:dyDescent="0.35">
      <c r="A414" t="s">
        <v>23</v>
      </c>
      <c r="B414" t="s">
        <v>299</v>
      </c>
      <c r="C414" t="s">
        <v>317</v>
      </c>
      <c r="D414" t="s">
        <v>324</v>
      </c>
      <c r="E414">
        <v>10</v>
      </c>
      <c r="F414" t="s">
        <v>324</v>
      </c>
      <c r="G414" t="s">
        <v>68</v>
      </c>
      <c r="H414">
        <v>3</v>
      </c>
      <c r="J414">
        <v>-1529175.5376217109</v>
      </c>
      <c r="K414">
        <v>1.2E-2</v>
      </c>
      <c r="L414">
        <v>1.4142135623730949</v>
      </c>
      <c r="M414" t="s">
        <v>353</v>
      </c>
      <c r="N414">
        <v>8.4852813742385715E-3</v>
      </c>
      <c r="O414">
        <v>-12975.484707322759</v>
      </c>
    </row>
    <row r="415" spans="1:15" hidden="1" x14ac:dyDescent="0.35">
      <c r="A415" t="s">
        <v>23</v>
      </c>
      <c r="B415" t="s">
        <v>299</v>
      </c>
      <c r="C415" t="s">
        <v>317</v>
      </c>
      <c r="D415" t="s">
        <v>324</v>
      </c>
      <c r="E415">
        <v>11</v>
      </c>
      <c r="F415" t="s">
        <v>324</v>
      </c>
      <c r="G415" t="s">
        <v>70</v>
      </c>
      <c r="H415">
        <v>3</v>
      </c>
      <c r="J415">
        <v>-2001407.5513452101</v>
      </c>
      <c r="K415">
        <v>1.2E-2</v>
      </c>
      <c r="L415">
        <v>1.4142135623730949</v>
      </c>
      <c r="M415" t="s">
        <v>353</v>
      </c>
      <c r="N415">
        <v>8.4852813742385715E-3</v>
      </c>
      <c r="O415">
        <v>-16982.506217689941</v>
      </c>
    </row>
    <row r="416" spans="1:15" hidden="1" x14ac:dyDescent="0.35">
      <c r="A416" t="s">
        <v>23</v>
      </c>
      <c r="B416" t="s">
        <v>299</v>
      </c>
      <c r="C416" t="s">
        <v>317</v>
      </c>
      <c r="D416" t="s">
        <v>324</v>
      </c>
      <c r="E416">
        <v>12</v>
      </c>
      <c r="F416" t="s">
        <v>324</v>
      </c>
      <c r="G416" t="s">
        <v>95</v>
      </c>
      <c r="H416">
        <v>3</v>
      </c>
      <c r="J416">
        <v>-118321.71055664271</v>
      </c>
      <c r="K416">
        <v>1.2E-2</v>
      </c>
      <c r="L416">
        <v>1.4142135623730949</v>
      </c>
      <c r="M416" t="s">
        <v>353</v>
      </c>
      <c r="N416">
        <v>8.4852813742385715E-3</v>
      </c>
      <c r="O416">
        <v>-1003.993006754328</v>
      </c>
    </row>
    <row r="417" spans="1:15" hidden="1" x14ac:dyDescent="0.35">
      <c r="A417" t="s">
        <v>23</v>
      </c>
      <c r="B417" t="s">
        <v>299</v>
      </c>
      <c r="C417" t="s">
        <v>317</v>
      </c>
      <c r="D417" t="s">
        <v>324</v>
      </c>
      <c r="E417">
        <v>14</v>
      </c>
      <c r="F417" t="s">
        <v>324</v>
      </c>
      <c r="G417" t="s">
        <v>119</v>
      </c>
      <c r="H417">
        <v>3</v>
      </c>
      <c r="J417">
        <v>-1748700.5782998039</v>
      </c>
      <c r="K417">
        <v>1.2E-2</v>
      </c>
      <c r="L417">
        <v>1.4142135623730949</v>
      </c>
      <c r="M417" t="s">
        <v>353</v>
      </c>
      <c r="N417">
        <v>8.4852813742385715E-3</v>
      </c>
      <c r="O417">
        <v>-14838.21644616754</v>
      </c>
    </row>
    <row r="418" spans="1:15" hidden="1" x14ac:dyDescent="0.35">
      <c r="A418" t="s">
        <v>23</v>
      </c>
      <c r="B418" t="s">
        <v>299</v>
      </c>
      <c r="C418" t="s">
        <v>317</v>
      </c>
      <c r="D418" t="s">
        <v>324</v>
      </c>
      <c r="E418">
        <v>15</v>
      </c>
      <c r="F418" t="s">
        <v>324</v>
      </c>
      <c r="G418" t="s">
        <v>121</v>
      </c>
      <c r="H418">
        <v>3</v>
      </c>
      <c r="J418">
        <v>-2044653.1977636369</v>
      </c>
      <c r="K418">
        <v>1.2E-2</v>
      </c>
      <c r="L418">
        <v>1.4142135623730949</v>
      </c>
      <c r="M418" t="s">
        <v>353</v>
      </c>
      <c r="N418">
        <v>8.4852813742385715E-3</v>
      </c>
      <c r="O418">
        <v>-17349.457695761121</v>
      </c>
    </row>
    <row r="419" spans="1:15" hidden="1" x14ac:dyDescent="0.35">
      <c r="A419" t="s">
        <v>23</v>
      </c>
      <c r="B419" t="s">
        <v>299</v>
      </c>
      <c r="C419" t="s">
        <v>317</v>
      </c>
      <c r="D419" t="s">
        <v>324</v>
      </c>
      <c r="E419">
        <v>16</v>
      </c>
      <c r="F419" t="s">
        <v>324</v>
      </c>
      <c r="G419" t="s">
        <v>97</v>
      </c>
      <c r="H419">
        <v>3</v>
      </c>
      <c r="J419">
        <v>-699684.8823121126</v>
      </c>
      <c r="K419">
        <v>1.2E-2</v>
      </c>
      <c r="L419">
        <v>1.4142135623730949</v>
      </c>
      <c r="M419" t="s">
        <v>353</v>
      </c>
      <c r="N419">
        <v>8.4852813742385715E-3</v>
      </c>
      <c r="O419">
        <v>-5937.0230997192757</v>
      </c>
    </row>
    <row r="420" spans="1:15" hidden="1" x14ac:dyDescent="0.35">
      <c r="A420" t="s">
        <v>23</v>
      </c>
      <c r="B420" t="s">
        <v>299</v>
      </c>
      <c r="C420" t="s">
        <v>317</v>
      </c>
      <c r="D420" t="s">
        <v>324</v>
      </c>
      <c r="E420">
        <v>19</v>
      </c>
      <c r="F420" t="s">
        <v>324</v>
      </c>
      <c r="G420" t="s">
        <v>123</v>
      </c>
      <c r="H420">
        <v>3</v>
      </c>
      <c r="J420">
        <v>-2173695.8448037738</v>
      </c>
      <c r="K420">
        <v>1.2E-2</v>
      </c>
      <c r="L420">
        <v>1.4142135623730949</v>
      </c>
      <c r="M420" t="s">
        <v>353</v>
      </c>
      <c r="N420">
        <v>8.4852813742385715E-3</v>
      </c>
      <c r="O420">
        <v>-18444.420865173241</v>
      </c>
    </row>
    <row r="421" spans="1:15" hidden="1" x14ac:dyDescent="0.35">
      <c r="A421" t="s">
        <v>23</v>
      </c>
      <c r="B421" t="s">
        <v>299</v>
      </c>
      <c r="C421" t="s">
        <v>317</v>
      </c>
      <c r="D421" t="s">
        <v>324</v>
      </c>
      <c r="E421">
        <v>20</v>
      </c>
      <c r="F421" t="s">
        <v>324</v>
      </c>
      <c r="G421" t="s">
        <v>58</v>
      </c>
      <c r="H421">
        <v>3</v>
      </c>
      <c r="J421">
        <v>-481177.54069619422</v>
      </c>
      <c r="K421">
        <v>1.2E-2</v>
      </c>
      <c r="L421">
        <v>1.4142135623730949</v>
      </c>
      <c r="M421" t="s">
        <v>353</v>
      </c>
      <c r="N421">
        <v>8.4852813742385715E-3</v>
      </c>
      <c r="O421">
        <v>-4082.9268237713391</v>
      </c>
    </row>
    <row r="422" spans="1:15" hidden="1" x14ac:dyDescent="0.35">
      <c r="A422" t="s">
        <v>23</v>
      </c>
      <c r="B422" t="s">
        <v>299</v>
      </c>
      <c r="C422" t="s">
        <v>317</v>
      </c>
      <c r="D422" t="s">
        <v>324</v>
      </c>
      <c r="E422">
        <v>22</v>
      </c>
      <c r="F422" t="s">
        <v>324</v>
      </c>
      <c r="G422" t="s">
        <v>74</v>
      </c>
      <c r="H422">
        <v>3</v>
      </c>
      <c r="J422">
        <v>-1434479.546360024</v>
      </c>
      <c r="K422">
        <v>1.2E-2</v>
      </c>
      <c r="L422">
        <v>1.4142135623730949</v>
      </c>
      <c r="M422" t="s">
        <v>353</v>
      </c>
      <c r="N422">
        <v>8.4852813742385715E-3</v>
      </c>
      <c r="O422">
        <v>-12171.962576454909</v>
      </c>
    </row>
    <row r="423" spans="1:15" hidden="1" x14ac:dyDescent="0.35">
      <c r="A423" t="s">
        <v>23</v>
      </c>
      <c r="B423" t="s">
        <v>299</v>
      </c>
      <c r="C423" t="s">
        <v>317</v>
      </c>
      <c r="D423" t="s">
        <v>324</v>
      </c>
      <c r="E423">
        <v>37</v>
      </c>
      <c r="F423" t="s">
        <v>324</v>
      </c>
      <c r="G423" t="s">
        <v>161</v>
      </c>
      <c r="H423">
        <v>3</v>
      </c>
      <c r="J423">
        <v>-74213821.495622396</v>
      </c>
      <c r="K423">
        <v>1.2E-2</v>
      </c>
      <c r="L423">
        <v>1.4142135623730949</v>
      </c>
      <c r="M423" t="s">
        <v>353</v>
      </c>
      <c r="N423">
        <v>8.4852813742385715E-3</v>
      </c>
      <c r="O423">
        <v>-629725.15724787081</v>
      </c>
    </row>
    <row r="424" spans="1:15" hidden="1" x14ac:dyDescent="0.35">
      <c r="A424" t="s">
        <v>23</v>
      </c>
      <c r="B424" t="s">
        <v>299</v>
      </c>
      <c r="C424" t="s">
        <v>317</v>
      </c>
      <c r="D424" t="s">
        <v>324</v>
      </c>
      <c r="E424">
        <v>38</v>
      </c>
      <c r="F424" t="s">
        <v>324</v>
      </c>
      <c r="G424" t="s">
        <v>215</v>
      </c>
      <c r="H424">
        <v>3</v>
      </c>
      <c r="J424">
        <v>-20946648.059170689</v>
      </c>
      <c r="K424">
        <v>1.2E-2</v>
      </c>
      <c r="L424">
        <v>1.4142135623730949</v>
      </c>
      <c r="M424" t="s">
        <v>353</v>
      </c>
      <c r="N424">
        <v>8.4852813742385715E-3</v>
      </c>
      <c r="O424">
        <v>-177738.20262921159</v>
      </c>
    </row>
    <row r="425" spans="1:15" hidden="1" x14ac:dyDescent="0.35">
      <c r="A425" t="s">
        <v>23</v>
      </c>
      <c r="B425" t="s">
        <v>299</v>
      </c>
      <c r="C425" t="s">
        <v>317</v>
      </c>
      <c r="D425" t="s">
        <v>324</v>
      </c>
      <c r="E425">
        <v>39</v>
      </c>
      <c r="F425" t="s">
        <v>324</v>
      </c>
      <c r="G425" t="s">
        <v>217</v>
      </c>
      <c r="H425">
        <v>3</v>
      </c>
      <c r="J425">
        <v>6982216.0197235644</v>
      </c>
      <c r="K425">
        <v>1.2E-2</v>
      </c>
      <c r="L425">
        <v>1.4142135623730949</v>
      </c>
      <c r="M425" t="s">
        <v>353</v>
      </c>
      <c r="N425">
        <v>8.4852813742385715E-3</v>
      </c>
      <c r="O425">
        <v>59246.067543070538</v>
      </c>
    </row>
    <row r="426" spans="1:15" hidden="1" x14ac:dyDescent="0.35">
      <c r="A426" t="s">
        <v>23</v>
      </c>
      <c r="B426" t="s">
        <v>299</v>
      </c>
      <c r="C426" t="s">
        <v>317</v>
      </c>
      <c r="D426" t="s">
        <v>324</v>
      </c>
      <c r="E426">
        <v>40</v>
      </c>
      <c r="F426" t="s">
        <v>324</v>
      </c>
      <c r="G426" t="s">
        <v>168</v>
      </c>
      <c r="H426">
        <v>3</v>
      </c>
      <c r="J426">
        <v>-16569641.401171681</v>
      </c>
      <c r="K426">
        <v>1.2E-2</v>
      </c>
      <c r="L426">
        <v>1.4142135623730949</v>
      </c>
      <c r="M426" t="s">
        <v>353</v>
      </c>
      <c r="N426">
        <v>8.4852813742385715E-3</v>
      </c>
      <c r="O426">
        <v>-140598.06955917439</v>
      </c>
    </row>
    <row r="427" spans="1:15" hidden="1" x14ac:dyDescent="0.35">
      <c r="A427" t="s">
        <v>23</v>
      </c>
      <c r="B427" t="s">
        <v>299</v>
      </c>
      <c r="C427" t="s">
        <v>317</v>
      </c>
      <c r="D427" t="s">
        <v>324</v>
      </c>
      <c r="E427">
        <v>41</v>
      </c>
      <c r="F427" t="s">
        <v>324</v>
      </c>
      <c r="G427" t="s">
        <v>170</v>
      </c>
      <c r="H427">
        <v>3</v>
      </c>
      <c r="J427">
        <v>-1288560.424018651</v>
      </c>
      <c r="K427">
        <v>1.2E-2</v>
      </c>
      <c r="L427">
        <v>1.4142135623730949</v>
      </c>
      <c r="M427" t="s">
        <v>353</v>
      </c>
      <c r="N427">
        <v>8.4852813742385715E-3</v>
      </c>
      <c r="O427">
        <v>-10933.797765506421</v>
      </c>
    </row>
    <row r="428" spans="1:15" hidden="1" x14ac:dyDescent="0.35">
      <c r="A428" t="s">
        <v>23</v>
      </c>
      <c r="B428" t="s">
        <v>299</v>
      </c>
      <c r="C428" t="s">
        <v>317</v>
      </c>
      <c r="D428" t="s">
        <v>324</v>
      </c>
      <c r="E428">
        <v>42</v>
      </c>
      <c r="F428" t="s">
        <v>324</v>
      </c>
      <c r="G428" t="s">
        <v>226</v>
      </c>
      <c r="H428">
        <v>3</v>
      </c>
      <c r="J428">
        <v>-2298152.8308615088</v>
      </c>
      <c r="K428">
        <v>1.2E-2</v>
      </c>
      <c r="L428">
        <v>1.4142135623730949</v>
      </c>
      <c r="M428" t="s">
        <v>353</v>
      </c>
      <c r="N428">
        <v>8.4852813742385715E-3</v>
      </c>
      <c r="O428">
        <v>-19500.473410862811</v>
      </c>
    </row>
    <row r="429" spans="1:15" hidden="1" x14ac:dyDescent="0.35">
      <c r="A429" t="s">
        <v>23</v>
      </c>
      <c r="B429" t="s">
        <v>299</v>
      </c>
      <c r="C429" t="s">
        <v>317</v>
      </c>
      <c r="D429" t="s">
        <v>324</v>
      </c>
      <c r="E429">
        <v>43</v>
      </c>
      <c r="F429" t="s">
        <v>324</v>
      </c>
      <c r="G429" t="s">
        <v>206</v>
      </c>
      <c r="H429">
        <v>3</v>
      </c>
      <c r="J429">
        <v>-141810473.7871885</v>
      </c>
      <c r="K429">
        <v>1.2E-2</v>
      </c>
      <c r="L429">
        <v>1.4142135623730949</v>
      </c>
      <c r="M429" t="s">
        <v>353</v>
      </c>
      <c r="N429">
        <v>8.4852813742385715E-3</v>
      </c>
      <c r="O429">
        <v>-1203301.7718983779</v>
      </c>
    </row>
    <row r="430" spans="1:15" hidden="1" x14ac:dyDescent="0.35">
      <c r="A430" t="s">
        <v>23</v>
      </c>
      <c r="B430" t="s">
        <v>299</v>
      </c>
      <c r="C430" t="s">
        <v>317</v>
      </c>
      <c r="D430" t="s">
        <v>324</v>
      </c>
      <c r="E430">
        <v>44</v>
      </c>
      <c r="F430" t="s">
        <v>324</v>
      </c>
      <c r="G430" t="s">
        <v>260</v>
      </c>
      <c r="H430">
        <v>3</v>
      </c>
      <c r="J430">
        <v>-79992683.81267786</v>
      </c>
      <c r="K430">
        <v>1.2E-2</v>
      </c>
      <c r="L430">
        <v>1.4142135623730949</v>
      </c>
      <c r="M430" t="s">
        <v>353</v>
      </c>
      <c r="N430">
        <v>8.4852813742385715E-3</v>
      </c>
      <c r="O430">
        <v>-678760.43003107072</v>
      </c>
    </row>
    <row r="431" spans="1:15" hidden="1" x14ac:dyDescent="0.35">
      <c r="A431" t="s">
        <v>23</v>
      </c>
      <c r="B431" t="s">
        <v>299</v>
      </c>
      <c r="C431" t="s">
        <v>317</v>
      </c>
      <c r="D431" t="s">
        <v>324</v>
      </c>
      <c r="E431">
        <v>45</v>
      </c>
      <c r="F431" t="s">
        <v>324</v>
      </c>
      <c r="G431" t="s">
        <v>262</v>
      </c>
      <c r="H431">
        <v>3</v>
      </c>
      <c r="J431">
        <v>-35552303.91677469</v>
      </c>
      <c r="K431">
        <v>1.2E-2</v>
      </c>
      <c r="L431">
        <v>1.4142135623730949</v>
      </c>
      <c r="M431" t="s">
        <v>353</v>
      </c>
      <c r="N431">
        <v>8.4852813742385715E-3</v>
      </c>
      <c r="O431">
        <v>-301671.30223627732</v>
      </c>
    </row>
    <row r="432" spans="1:15" hidden="1" x14ac:dyDescent="0.35">
      <c r="A432" t="s">
        <v>23</v>
      </c>
      <c r="B432" t="s">
        <v>299</v>
      </c>
      <c r="C432" t="s">
        <v>317</v>
      </c>
      <c r="D432" t="s">
        <v>324</v>
      </c>
      <c r="E432">
        <v>47</v>
      </c>
      <c r="F432" t="s">
        <v>324</v>
      </c>
      <c r="G432" t="s">
        <v>187</v>
      </c>
      <c r="H432">
        <v>3</v>
      </c>
      <c r="J432">
        <v>-266195000.8529425</v>
      </c>
      <c r="K432">
        <v>1.2E-2</v>
      </c>
      <c r="L432">
        <v>1.4142135623730949</v>
      </c>
      <c r="M432" t="s">
        <v>353</v>
      </c>
      <c r="N432">
        <v>8.4852813742385715E-3</v>
      </c>
      <c r="O432">
        <v>-2258739.4826528942</v>
      </c>
    </row>
    <row r="433" spans="1:15" hidden="1" x14ac:dyDescent="0.35">
      <c r="A433" t="s">
        <v>23</v>
      </c>
      <c r="B433" t="s">
        <v>299</v>
      </c>
      <c r="C433" t="s">
        <v>317</v>
      </c>
      <c r="D433" t="s">
        <v>324</v>
      </c>
      <c r="E433">
        <v>48</v>
      </c>
      <c r="F433" t="s">
        <v>324</v>
      </c>
      <c r="G433" t="s">
        <v>237</v>
      </c>
      <c r="H433">
        <v>3</v>
      </c>
      <c r="J433">
        <v>-35098536.161072552</v>
      </c>
      <c r="K433">
        <v>1.2E-2</v>
      </c>
      <c r="L433">
        <v>1.4142135623730949</v>
      </c>
      <c r="M433" t="s">
        <v>353</v>
      </c>
      <c r="N433">
        <v>8.4852813742385715E-3</v>
      </c>
      <c r="O433">
        <v>-297820.95515058789</v>
      </c>
    </row>
    <row r="434" spans="1:15" hidden="1" x14ac:dyDescent="0.35">
      <c r="A434" t="s">
        <v>23</v>
      </c>
      <c r="B434" t="s">
        <v>299</v>
      </c>
      <c r="C434" t="s">
        <v>317</v>
      </c>
      <c r="D434" t="s">
        <v>324</v>
      </c>
      <c r="E434">
        <v>49</v>
      </c>
      <c r="F434" t="s">
        <v>324</v>
      </c>
      <c r="G434" t="s">
        <v>239</v>
      </c>
      <c r="H434">
        <v>3</v>
      </c>
      <c r="J434">
        <v>-18519801.12535879</v>
      </c>
      <c r="K434">
        <v>1.2E-2</v>
      </c>
      <c r="L434">
        <v>1.4142135623730949</v>
      </c>
      <c r="M434" t="s">
        <v>353</v>
      </c>
      <c r="N434">
        <v>8.4852813742385715E-3</v>
      </c>
      <c r="O434">
        <v>-157145.72354360949</v>
      </c>
    </row>
    <row r="435" spans="1:15" hidden="1" x14ac:dyDescent="0.35">
      <c r="A435" t="s">
        <v>23</v>
      </c>
      <c r="B435" t="s">
        <v>299</v>
      </c>
      <c r="C435" t="s">
        <v>317</v>
      </c>
      <c r="D435" t="s">
        <v>324</v>
      </c>
      <c r="E435">
        <v>50</v>
      </c>
      <c r="F435" t="s">
        <v>324</v>
      </c>
      <c r="G435" t="s">
        <v>197</v>
      </c>
      <c r="H435">
        <v>3</v>
      </c>
      <c r="J435">
        <v>-38688639.976754777</v>
      </c>
      <c r="K435">
        <v>1.2E-2</v>
      </c>
      <c r="L435">
        <v>1.4142135623730949</v>
      </c>
      <c r="M435" t="s">
        <v>353</v>
      </c>
      <c r="N435">
        <v>8.4852813742385715E-3</v>
      </c>
      <c r="O435">
        <v>-328283.99618937908</v>
      </c>
    </row>
    <row r="436" spans="1:15" hidden="1" x14ac:dyDescent="0.35">
      <c r="A436" t="s">
        <v>23</v>
      </c>
      <c r="B436" t="s">
        <v>299</v>
      </c>
      <c r="C436" t="s">
        <v>317</v>
      </c>
      <c r="D436" t="s">
        <v>324</v>
      </c>
      <c r="E436">
        <v>51</v>
      </c>
      <c r="F436" t="s">
        <v>324</v>
      </c>
      <c r="G436" t="s">
        <v>251</v>
      </c>
      <c r="H436">
        <v>3</v>
      </c>
      <c r="J436">
        <v>5646062.2536949813</v>
      </c>
      <c r="K436">
        <v>1.2E-2</v>
      </c>
      <c r="L436">
        <v>1.4142135623730949</v>
      </c>
      <c r="M436" t="s">
        <v>353</v>
      </c>
      <c r="N436">
        <v>8.4852813742385715E-3</v>
      </c>
      <c r="O436">
        <v>47908.426879069477</v>
      </c>
    </row>
    <row r="437" spans="1:15" hidden="1" x14ac:dyDescent="0.35">
      <c r="A437" t="s">
        <v>23</v>
      </c>
      <c r="B437" t="s">
        <v>299</v>
      </c>
      <c r="C437" t="s">
        <v>317</v>
      </c>
      <c r="D437" t="s">
        <v>324</v>
      </c>
      <c r="E437">
        <v>58</v>
      </c>
      <c r="F437" t="s">
        <v>324</v>
      </c>
      <c r="G437" t="s">
        <v>357</v>
      </c>
      <c r="H437">
        <v>3</v>
      </c>
      <c r="J437">
        <v>-34809684.706488043</v>
      </c>
      <c r="K437">
        <v>1.2E-2</v>
      </c>
      <c r="L437">
        <v>1.4142135623730949</v>
      </c>
      <c r="M437" t="s">
        <v>353</v>
      </c>
      <c r="N437">
        <v>8.4852813742385715E-3</v>
      </c>
      <c r="O437">
        <v>-295369.96928308031</v>
      </c>
    </row>
    <row r="438" spans="1:15" hidden="1" x14ac:dyDescent="0.35">
      <c r="A438" t="s">
        <v>23</v>
      </c>
      <c r="B438" t="s">
        <v>299</v>
      </c>
      <c r="C438" t="s">
        <v>317</v>
      </c>
      <c r="D438" t="s">
        <v>325</v>
      </c>
      <c r="E438">
        <v>2</v>
      </c>
      <c r="F438" t="s">
        <v>325</v>
      </c>
      <c r="G438" t="s">
        <v>319</v>
      </c>
      <c r="H438">
        <v>5</v>
      </c>
      <c r="J438">
        <v>-2784562.6866289312</v>
      </c>
      <c r="K438">
        <v>1.0999999999999999E-2</v>
      </c>
      <c r="L438">
        <v>1.4142135623730949</v>
      </c>
      <c r="M438" t="s">
        <v>353</v>
      </c>
      <c r="N438">
        <v>7.778174593052023E-3</v>
      </c>
      <c r="O438">
        <v>-21658.81474189783</v>
      </c>
    </row>
    <row r="439" spans="1:15" hidden="1" x14ac:dyDescent="0.35">
      <c r="A439" t="s">
        <v>23</v>
      </c>
      <c r="B439" t="s">
        <v>299</v>
      </c>
      <c r="C439" t="s">
        <v>317</v>
      </c>
      <c r="D439" t="s">
        <v>325</v>
      </c>
      <c r="E439">
        <v>6</v>
      </c>
      <c r="F439" t="s">
        <v>325</v>
      </c>
      <c r="G439" t="s">
        <v>117</v>
      </c>
      <c r="H439">
        <v>5</v>
      </c>
      <c r="J439">
        <v>-1110483.0785735089</v>
      </c>
      <c r="K439">
        <v>1.0999999999999999E-2</v>
      </c>
      <c r="L439">
        <v>1.4142135623730949</v>
      </c>
      <c r="M439" t="s">
        <v>353</v>
      </c>
      <c r="N439">
        <v>7.778174593052023E-3</v>
      </c>
      <c r="O439">
        <v>-8637.5312677746606</v>
      </c>
    </row>
    <row r="440" spans="1:15" hidden="1" x14ac:dyDescent="0.35">
      <c r="A440" t="s">
        <v>23</v>
      </c>
      <c r="B440" t="s">
        <v>299</v>
      </c>
      <c r="C440" t="s">
        <v>317</v>
      </c>
      <c r="D440" t="s">
        <v>325</v>
      </c>
      <c r="E440">
        <v>7</v>
      </c>
      <c r="F440" t="s">
        <v>325</v>
      </c>
      <c r="G440" t="s">
        <v>144</v>
      </c>
      <c r="H440">
        <v>5</v>
      </c>
      <c r="J440">
        <v>-2045246.6174321561</v>
      </c>
      <c r="K440">
        <v>1.0999999999999999E-2</v>
      </c>
      <c r="L440">
        <v>1.4142135623730949</v>
      </c>
      <c r="M440" t="s">
        <v>353</v>
      </c>
      <c r="N440">
        <v>7.778174593052023E-3</v>
      </c>
      <c r="O440">
        <v>-15908.285276236389</v>
      </c>
    </row>
    <row r="441" spans="1:15" hidden="1" x14ac:dyDescent="0.35">
      <c r="A441" t="s">
        <v>23</v>
      </c>
      <c r="B441" t="s">
        <v>299</v>
      </c>
      <c r="C441" t="s">
        <v>317</v>
      </c>
      <c r="D441" t="s">
        <v>325</v>
      </c>
      <c r="E441">
        <v>9</v>
      </c>
      <c r="F441" t="s">
        <v>325</v>
      </c>
      <c r="G441" t="s">
        <v>66</v>
      </c>
      <c r="H441">
        <v>5</v>
      </c>
      <c r="J441">
        <v>-27540.34454517296</v>
      </c>
      <c r="K441">
        <v>1.0999999999999999E-2</v>
      </c>
      <c r="L441">
        <v>1.4142135623730949</v>
      </c>
      <c r="M441" t="s">
        <v>353</v>
      </c>
      <c r="N441">
        <v>7.778174593052023E-3</v>
      </c>
      <c r="O441">
        <v>-214.2136082251632</v>
      </c>
    </row>
    <row r="442" spans="1:15" hidden="1" x14ac:dyDescent="0.35">
      <c r="A442" t="s">
        <v>23</v>
      </c>
      <c r="B442" t="s">
        <v>299</v>
      </c>
      <c r="C442" t="s">
        <v>317</v>
      </c>
      <c r="D442" t="s">
        <v>325</v>
      </c>
      <c r="E442">
        <v>11</v>
      </c>
      <c r="F442" t="s">
        <v>325</v>
      </c>
      <c r="G442" t="s">
        <v>70</v>
      </c>
      <c r="H442">
        <v>5</v>
      </c>
      <c r="J442">
        <v>-620951.84330172511</v>
      </c>
      <c r="K442">
        <v>1.0999999999999999E-2</v>
      </c>
      <c r="L442">
        <v>1.4142135623730949</v>
      </c>
      <c r="M442" t="s">
        <v>353</v>
      </c>
      <c r="N442">
        <v>7.778174593052023E-3</v>
      </c>
      <c r="O442">
        <v>-4829.8718510782992</v>
      </c>
    </row>
    <row r="443" spans="1:15" hidden="1" x14ac:dyDescent="0.35">
      <c r="A443" t="s">
        <v>23</v>
      </c>
      <c r="B443" t="s">
        <v>299</v>
      </c>
      <c r="C443" t="s">
        <v>317</v>
      </c>
      <c r="D443" t="s">
        <v>325</v>
      </c>
      <c r="E443">
        <v>12</v>
      </c>
      <c r="F443" t="s">
        <v>325</v>
      </c>
      <c r="G443" t="s">
        <v>95</v>
      </c>
      <c r="H443">
        <v>5</v>
      </c>
      <c r="J443">
        <v>-2157134.4718009299</v>
      </c>
      <c r="K443">
        <v>1.0999999999999999E-2</v>
      </c>
      <c r="L443">
        <v>1.4142135623730949</v>
      </c>
      <c r="M443" t="s">
        <v>353</v>
      </c>
      <c r="N443">
        <v>7.778174593052023E-3</v>
      </c>
      <c r="O443">
        <v>-16778.568542358691</v>
      </c>
    </row>
    <row r="444" spans="1:15" hidden="1" x14ac:dyDescent="0.35">
      <c r="A444" t="s">
        <v>23</v>
      </c>
      <c r="B444" t="s">
        <v>299</v>
      </c>
      <c r="C444" t="s">
        <v>317</v>
      </c>
      <c r="D444" t="s">
        <v>325</v>
      </c>
      <c r="E444">
        <v>15</v>
      </c>
      <c r="F444" t="s">
        <v>325</v>
      </c>
      <c r="G444" t="s">
        <v>121</v>
      </c>
      <c r="H444">
        <v>5</v>
      </c>
      <c r="J444">
        <v>-580553.06428968837</v>
      </c>
      <c r="K444">
        <v>1.0999999999999999E-2</v>
      </c>
      <c r="L444">
        <v>1.4142135623730949</v>
      </c>
      <c r="M444" t="s">
        <v>353</v>
      </c>
      <c r="N444">
        <v>7.778174593052023E-3</v>
      </c>
      <c r="O444">
        <v>-4515.6430945765514</v>
      </c>
    </row>
    <row r="445" spans="1:15" hidden="1" x14ac:dyDescent="0.35">
      <c r="A445" t="s">
        <v>23</v>
      </c>
      <c r="B445" t="s">
        <v>299</v>
      </c>
      <c r="C445" t="s">
        <v>317</v>
      </c>
      <c r="D445" t="s">
        <v>325</v>
      </c>
      <c r="E445">
        <v>16</v>
      </c>
      <c r="F445" t="s">
        <v>325</v>
      </c>
      <c r="G445" t="s">
        <v>97</v>
      </c>
      <c r="H445">
        <v>5</v>
      </c>
      <c r="J445">
        <v>-2751351.9345624791</v>
      </c>
      <c r="K445">
        <v>1.0999999999999999E-2</v>
      </c>
      <c r="L445">
        <v>1.4142135623730949</v>
      </c>
      <c r="M445" t="s">
        <v>353</v>
      </c>
      <c r="N445">
        <v>7.778174593052023E-3</v>
      </c>
      <c r="O445">
        <v>-21400.495713958411</v>
      </c>
    </row>
    <row r="446" spans="1:15" hidden="1" x14ac:dyDescent="0.35">
      <c r="A446" t="s">
        <v>23</v>
      </c>
      <c r="B446" t="s">
        <v>299</v>
      </c>
      <c r="C446" t="s">
        <v>317</v>
      </c>
      <c r="D446" t="s">
        <v>325</v>
      </c>
      <c r="E446">
        <v>19</v>
      </c>
      <c r="F446" t="s">
        <v>325</v>
      </c>
      <c r="G446" t="s">
        <v>123</v>
      </c>
      <c r="H446">
        <v>5</v>
      </c>
      <c r="J446">
        <v>-397255.10859443602</v>
      </c>
      <c r="K446">
        <v>1.0999999999999999E-2</v>
      </c>
      <c r="L446">
        <v>1.4142135623730949</v>
      </c>
      <c r="M446" t="s">
        <v>353</v>
      </c>
      <c r="N446">
        <v>7.778174593052023E-3</v>
      </c>
      <c r="O446">
        <v>-3089.9195926293651</v>
      </c>
    </row>
    <row r="447" spans="1:15" hidden="1" x14ac:dyDescent="0.35">
      <c r="A447" t="s">
        <v>23</v>
      </c>
      <c r="B447" t="s">
        <v>299</v>
      </c>
      <c r="C447" t="s">
        <v>317</v>
      </c>
      <c r="D447" t="s">
        <v>325</v>
      </c>
      <c r="E447">
        <v>22</v>
      </c>
      <c r="F447" t="s">
        <v>325</v>
      </c>
      <c r="G447" t="s">
        <v>74</v>
      </c>
      <c r="H447">
        <v>5</v>
      </c>
      <c r="J447">
        <v>-1564632.0392323791</v>
      </c>
      <c r="K447">
        <v>1.0999999999999999E-2</v>
      </c>
      <c r="L447">
        <v>1.4142135623730949</v>
      </c>
      <c r="M447" t="s">
        <v>353</v>
      </c>
      <c r="N447">
        <v>7.778174593052023E-3</v>
      </c>
      <c r="O447">
        <v>-12169.98117503247</v>
      </c>
    </row>
    <row r="448" spans="1:15" hidden="1" x14ac:dyDescent="0.35">
      <c r="A448" t="s">
        <v>23</v>
      </c>
      <c r="B448" t="s">
        <v>299</v>
      </c>
      <c r="C448" t="s">
        <v>317</v>
      </c>
      <c r="D448" t="s">
        <v>325</v>
      </c>
      <c r="E448">
        <v>40</v>
      </c>
      <c r="F448" t="s">
        <v>325</v>
      </c>
      <c r="G448" t="s">
        <v>168</v>
      </c>
      <c r="H448">
        <v>5</v>
      </c>
      <c r="J448">
        <v>-224373919.08884051</v>
      </c>
      <c r="K448">
        <v>1.0999999999999999E-2</v>
      </c>
      <c r="L448">
        <v>1.4142135623730949</v>
      </c>
      <c r="M448" t="s">
        <v>353</v>
      </c>
      <c r="N448">
        <v>7.778174593052023E-3</v>
      </c>
      <c r="O448">
        <v>-1745219.51680033</v>
      </c>
    </row>
    <row r="449" spans="1:15" hidden="1" x14ac:dyDescent="0.35">
      <c r="A449" t="s">
        <v>23</v>
      </c>
      <c r="B449" t="s">
        <v>299</v>
      </c>
      <c r="C449" t="s">
        <v>317</v>
      </c>
      <c r="D449" t="s">
        <v>325</v>
      </c>
      <c r="E449">
        <v>41</v>
      </c>
      <c r="F449" t="s">
        <v>325</v>
      </c>
      <c r="G449" t="s">
        <v>170</v>
      </c>
      <c r="H449">
        <v>5</v>
      </c>
      <c r="J449">
        <v>-16704108.947739011</v>
      </c>
      <c r="K449">
        <v>1.0999999999999999E-2</v>
      </c>
      <c r="L449">
        <v>1.4142135623730949</v>
      </c>
      <c r="M449" t="s">
        <v>353</v>
      </c>
      <c r="N449">
        <v>7.778174593052023E-3</v>
      </c>
      <c r="O449">
        <v>-129927.4758168765</v>
      </c>
    </row>
    <row r="450" spans="1:15" hidden="1" x14ac:dyDescent="0.35">
      <c r="A450" t="s">
        <v>23</v>
      </c>
      <c r="B450" t="s">
        <v>299</v>
      </c>
      <c r="C450" t="s">
        <v>317</v>
      </c>
      <c r="D450" t="s">
        <v>325</v>
      </c>
      <c r="E450">
        <v>42</v>
      </c>
      <c r="F450" t="s">
        <v>325</v>
      </c>
      <c r="G450" t="s">
        <v>226</v>
      </c>
      <c r="H450">
        <v>5</v>
      </c>
      <c r="J450">
        <v>-27587439.555004239</v>
      </c>
      <c r="K450">
        <v>1.0999999999999999E-2</v>
      </c>
      <c r="L450">
        <v>1.4142135623730949</v>
      </c>
      <c r="M450" t="s">
        <v>353</v>
      </c>
      <c r="N450">
        <v>7.778174593052023E-3</v>
      </c>
      <c r="O450">
        <v>-214579.92143409239</v>
      </c>
    </row>
    <row r="451" spans="1:15" hidden="1" x14ac:dyDescent="0.35">
      <c r="A451" t="s">
        <v>23</v>
      </c>
      <c r="B451" t="s">
        <v>299</v>
      </c>
      <c r="C451" t="s">
        <v>317</v>
      </c>
      <c r="D451" t="s">
        <v>325</v>
      </c>
      <c r="E451">
        <v>43</v>
      </c>
      <c r="F451" t="s">
        <v>325</v>
      </c>
      <c r="G451" t="s">
        <v>206</v>
      </c>
      <c r="H451">
        <v>5</v>
      </c>
      <c r="J451">
        <v>-91689947.718381882</v>
      </c>
      <c r="K451">
        <v>1.0999999999999999E-2</v>
      </c>
      <c r="L451">
        <v>1.4142135623730949</v>
      </c>
      <c r="M451" t="s">
        <v>353</v>
      </c>
      <c r="N451">
        <v>7.778174593052023E-3</v>
      </c>
      <c r="O451">
        <v>-713180.42178138625</v>
      </c>
    </row>
    <row r="452" spans="1:15" hidden="1" x14ac:dyDescent="0.35">
      <c r="A452" t="s">
        <v>23</v>
      </c>
      <c r="B452" t="s">
        <v>299</v>
      </c>
      <c r="C452" t="s">
        <v>317</v>
      </c>
      <c r="D452" t="s">
        <v>325</v>
      </c>
      <c r="E452">
        <v>44</v>
      </c>
      <c r="F452" t="s">
        <v>325</v>
      </c>
      <c r="G452" t="s">
        <v>260</v>
      </c>
      <c r="H452">
        <v>5</v>
      </c>
      <c r="J452">
        <v>-55745407.37092495</v>
      </c>
      <c r="K452">
        <v>1.0999999999999999E-2</v>
      </c>
      <c r="L452">
        <v>1.4142135623730949</v>
      </c>
      <c r="M452" t="s">
        <v>353</v>
      </c>
      <c r="N452">
        <v>7.778174593052023E-3</v>
      </c>
      <c r="O452">
        <v>-433597.5112918634</v>
      </c>
    </row>
    <row r="453" spans="1:15" hidden="1" x14ac:dyDescent="0.35">
      <c r="A453" t="s">
        <v>23</v>
      </c>
      <c r="B453" t="s">
        <v>299</v>
      </c>
      <c r="C453" t="s">
        <v>317</v>
      </c>
      <c r="D453" t="s">
        <v>325</v>
      </c>
      <c r="E453">
        <v>45</v>
      </c>
      <c r="F453" t="s">
        <v>325</v>
      </c>
      <c r="G453" t="s">
        <v>262</v>
      </c>
      <c r="H453">
        <v>5</v>
      </c>
      <c r="J453">
        <v>-24775736.60936207</v>
      </c>
      <c r="K453">
        <v>1.0999999999999999E-2</v>
      </c>
      <c r="L453">
        <v>1.4142135623730949</v>
      </c>
      <c r="M453" t="s">
        <v>353</v>
      </c>
      <c r="N453">
        <v>7.778174593052023E-3</v>
      </c>
      <c r="O453">
        <v>-192710.00501908889</v>
      </c>
    </row>
    <row r="454" spans="1:15" hidden="1" x14ac:dyDescent="0.35">
      <c r="A454" t="s">
        <v>23</v>
      </c>
      <c r="B454" t="s">
        <v>299</v>
      </c>
      <c r="C454" t="s">
        <v>317</v>
      </c>
      <c r="D454" t="s">
        <v>325</v>
      </c>
      <c r="E454">
        <v>47</v>
      </c>
      <c r="F454" t="s">
        <v>325</v>
      </c>
      <c r="G454" t="s">
        <v>187</v>
      </c>
      <c r="H454">
        <v>5</v>
      </c>
      <c r="J454">
        <v>-5501626.9862651816</v>
      </c>
      <c r="K454">
        <v>1.0999999999999999E-2</v>
      </c>
      <c r="L454">
        <v>1.4142135623730949</v>
      </c>
      <c r="M454" t="s">
        <v>353</v>
      </c>
      <c r="N454">
        <v>7.778174593052023E-3</v>
      </c>
      <c r="O454">
        <v>-42792.615245017209</v>
      </c>
    </row>
    <row r="455" spans="1:15" hidden="1" x14ac:dyDescent="0.35">
      <c r="A455" t="s">
        <v>23</v>
      </c>
      <c r="B455" t="s">
        <v>299</v>
      </c>
      <c r="C455" t="s">
        <v>317</v>
      </c>
      <c r="D455" t="s">
        <v>325</v>
      </c>
      <c r="E455">
        <v>48</v>
      </c>
      <c r="F455" t="s">
        <v>325</v>
      </c>
      <c r="G455" t="s">
        <v>237</v>
      </c>
      <c r="H455">
        <v>5</v>
      </c>
      <c r="J455">
        <v>-724563.47391009331</v>
      </c>
      <c r="K455">
        <v>1.0999999999999999E-2</v>
      </c>
      <c r="L455">
        <v>1.4142135623730949</v>
      </c>
      <c r="M455" t="s">
        <v>353</v>
      </c>
      <c r="N455">
        <v>7.778174593052023E-3</v>
      </c>
      <c r="O455">
        <v>-5635.7812038210004</v>
      </c>
    </row>
    <row r="456" spans="1:15" hidden="1" x14ac:dyDescent="0.35">
      <c r="A456" t="s">
        <v>23</v>
      </c>
      <c r="B456" t="s">
        <v>299</v>
      </c>
      <c r="C456" t="s">
        <v>317</v>
      </c>
      <c r="D456" t="s">
        <v>325</v>
      </c>
      <c r="E456">
        <v>49</v>
      </c>
      <c r="F456" t="s">
        <v>325</v>
      </c>
      <c r="G456" t="s">
        <v>239</v>
      </c>
      <c r="H456">
        <v>5</v>
      </c>
      <c r="J456">
        <v>-380668.86870190501</v>
      </c>
      <c r="K456">
        <v>1.0999999999999999E-2</v>
      </c>
      <c r="L456">
        <v>1.4142135623730949</v>
      </c>
      <c r="M456" t="s">
        <v>353</v>
      </c>
      <c r="N456">
        <v>7.778174593052023E-3</v>
      </c>
      <c r="O456">
        <v>-2960.9089229030142</v>
      </c>
    </row>
    <row r="457" spans="1:15" hidden="1" x14ac:dyDescent="0.35">
      <c r="A457" t="s">
        <v>23</v>
      </c>
      <c r="B457" t="s">
        <v>299</v>
      </c>
      <c r="C457" t="s">
        <v>317</v>
      </c>
      <c r="D457" t="s">
        <v>325</v>
      </c>
      <c r="E457">
        <v>50</v>
      </c>
      <c r="F457" t="s">
        <v>325</v>
      </c>
      <c r="G457" t="s">
        <v>197</v>
      </c>
      <c r="H457">
        <v>5</v>
      </c>
      <c r="J457">
        <v>-3015600.5055457349</v>
      </c>
      <c r="K457">
        <v>1.0999999999999999E-2</v>
      </c>
      <c r="L457">
        <v>1.4142135623730949</v>
      </c>
      <c r="M457" t="s">
        <v>353</v>
      </c>
      <c r="N457">
        <v>7.778174593052023E-3</v>
      </c>
      <c r="O457">
        <v>-23455.86723503067</v>
      </c>
    </row>
    <row r="458" spans="1:15" hidden="1" x14ac:dyDescent="0.35">
      <c r="A458" t="s">
        <v>23</v>
      </c>
      <c r="B458" t="s">
        <v>299</v>
      </c>
      <c r="C458" t="s">
        <v>317</v>
      </c>
      <c r="D458" t="s">
        <v>325</v>
      </c>
      <c r="E458">
        <v>51</v>
      </c>
      <c r="F458" t="s">
        <v>325</v>
      </c>
      <c r="G458" t="s">
        <v>251</v>
      </c>
      <c r="H458">
        <v>5</v>
      </c>
      <c r="J458">
        <v>438442.24316067988</v>
      </c>
      <c r="K458">
        <v>1.0999999999999999E-2</v>
      </c>
      <c r="L458">
        <v>1.4142135623730949</v>
      </c>
      <c r="M458" t="s">
        <v>353</v>
      </c>
      <c r="N458">
        <v>7.778174593052023E-3</v>
      </c>
      <c r="O458">
        <v>3410.280316273137</v>
      </c>
    </row>
    <row r="459" spans="1:15" hidden="1" x14ac:dyDescent="0.35">
      <c r="A459" t="s">
        <v>23</v>
      </c>
      <c r="B459" t="s">
        <v>299</v>
      </c>
      <c r="C459" t="s">
        <v>317</v>
      </c>
      <c r="D459" t="s">
        <v>325</v>
      </c>
      <c r="E459">
        <v>58</v>
      </c>
      <c r="F459" t="s">
        <v>325</v>
      </c>
      <c r="G459" t="s">
        <v>357</v>
      </c>
      <c r="H459">
        <v>5</v>
      </c>
      <c r="J459">
        <v>-40579932.672869742</v>
      </c>
      <c r="K459">
        <v>1.0999999999999999E-2</v>
      </c>
      <c r="L459">
        <v>1.4142135623730949</v>
      </c>
      <c r="M459" t="s">
        <v>353</v>
      </c>
      <c r="N459">
        <v>7.778174593052023E-3</v>
      </c>
      <c r="O459">
        <v>-315637.80130387709</v>
      </c>
    </row>
    <row r="460" spans="1:15" hidden="1" x14ac:dyDescent="0.35">
      <c r="A460" t="s">
        <v>23</v>
      </c>
      <c r="B460" t="s">
        <v>299</v>
      </c>
      <c r="C460" t="s">
        <v>317</v>
      </c>
      <c r="D460" t="s">
        <v>326</v>
      </c>
      <c r="E460">
        <v>12</v>
      </c>
      <c r="F460" t="s">
        <v>326</v>
      </c>
      <c r="G460" t="s">
        <v>95</v>
      </c>
      <c r="H460">
        <v>10</v>
      </c>
      <c r="J460">
        <v>-3182916.3416912821</v>
      </c>
      <c r="K460">
        <v>1.0999999999999999E-2</v>
      </c>
      <c r="L460">
        <v>1.4142135623730949</v>
      </c>
      <c r="M460" t="s">
        <v>353</v>
      </c>
      <c r="N460">
        <v>7.778174593052023E-3</v>
      </c>
      <c r="O460">
        <v>-24757.27902075322</v>
      </c>
    </row>
    <row r="461" spans="1:15" hidden="1" x14ac:dyDescent="0.35">
      <c r="A461" t="s">
        <v>23</v>
      </c>
      <c r="B461" t="s">
        <v>299</v>
      </c>
      <c r="C461" t="s">
        <v>317</v>
      </c>
      <c r="D461" t="s">
        <v>326</v>
      </c>
      <c r="E461">
        <v>40</v>
      </c>
      <c r="F461" t="s">
        <v>326</v>
      </c>
      <c r="G461" t="s">
        <v>168</v>
      </c>
      <c r="H461">
        <v>10</v>
      </c>
      <c r="J461">
        <v>-384148289.91383308</v>
      </c>
      <c r="K461">
        <v>1.0999999999999999E-2</v>
      </c>
      <c r="L461">
        <v>1.4142135623730949</v>
      </c>
      <c r="M461" t="s">
        <v>353</v>
      </c>
      <c r="N461">
        <v>7.778174593052023E-3</v>
      </c>
      <c r="O461">
        <v>-2987972.4685721588</v>
      </c>
    </row>
    <row r="462" spans="1:15" hidden="1" x14ac:dyDescent="0.35">
      <c r="A462" t="s">
        <v>23</v>
      </c>
      <c r="B462" t="s">
        <v>299</v>
      </c>
      <c r="C462" t="s">
        <v>317</v>
      </c>
      <c r="D462" t="s">
        <v>326</v>
      </c>
      <c r="E462">
        <v>41</v>
      </c>
      <c r="F462" t="s">
        <v>326</v>
      </c>
      <c r="G462" t="s">
        <v>170</v>
      </c>
      <c r="H462">
        <v>10</v>
      </c>
      <c r="J462">
        <v>-28445049.339272082</v>
      </c>
      <c r="K462">
        <v>1.0999999999999999E-2</v>
      </c>
      <c r="L462">
        <v>1.4142135623730949</v>
      </c>
      <c r="M462" t="s">
        <v>353</v>
      </c>
      <c r="N462">
        <v>7.778174593052023E-3</v>
      </c>
      <c r="O462">
        <v>-221250.56006883731</v>
      </c>
    </row>
    <row r="463" spans="1:15" hidden="1" x14ac:dyDescent="0.35">
      <c r="A463" t="s">
        <v>23</v>
      </c>
      <c r="B463" t="s">
        <v>299</v>
      </c>
      <c r="C463" t="s">
        <v>317</v>
      </c>
      <c r="D463" t="s">
        <v>326</v>
      </c>
      <c r="E463">
        <v>42</v>
      </c>
      <c r="F463" t="s">
        <v>326</v>
      </c>
      <c r="G463" t="s">
        <v>226</v>
      </c>
      <c r="H463">
        <v>10</v>
      </c>
      <c r="J463">
        <v>-46515278.08142826</v>
      </c>
      <c r="K463">
        <v>1.0999999999999999E-2</v>
      </c>
      <c r="L463">
        <v>1.4142135623730949</v>
      </c>
      <c r="M463" t="s">
        <v>353</v>
      </c>
      <c r="N463">
        <v>7.778174593052023E-3</v>
      </c>
      <c r="O463">
        <v>-361803.95416171488</v>
      </c>
    </row>
    <row r="464" spans="1:15" hidden="1" x14ac:dyDescent="0.35">
      <c r="A464" t="s">
        <v>327</v>
      </c>
      <c r="B464" t="s">
        <v>272</v>
      </c>
      <c r="C464">
        <v>12</v>
      </c>
      <c r="D464" t="s">
        <v>328</v>
      </c>
      <c r="E464">
        <v>33</v>
      </c>
      <c r="F464" t="s">
        <v>328</v>
      </c>
      <c r="G464" t="s">
        <v>294</v>
      </c>
      <c r="H464">
        <v>0.5</v>
      </c>
      <c r="J464">
        <v>-776111.81537086563</v>
      </c>
      <c r="K464">
        <v>0.77781699999999998</v>
      </c>
      <c r="L464">
        <v>1</v>
      </c>
      <c r="N464">
        <v>0.77781699999999998</v>
      </c>
      <c r="O464">
        <v>-603672.96389632055</v>
      </c>
    </row>
    <row r="465" spans="1:15" hidden="1" x14ac:dyDescent="0.35">
      <c r="A465" t="s">
        <v>327</v>
      </c>
      <c r="B465" t="s">
        <v>272</v>
      </c>
      <c r="C465">
        <v>12</v>
      </c>
      <c r="D465" t="s">
        <v>328</v>
      </c>
      <c r="E465">
        <v>35</v>
      </c>
      <c r="F465" t="s">
        <v>328</v>
      </c>
      <c r="G465" t="s">
        <v>349</v>
      </c>
      <c r="H465">
        <v>0.5</v>
      </c>
      <c r="J465">
        <v>-492341.27052997658</v>
      </c>
      <c r="K465">
        <v>0.77781699999999998</v>
      </c>
      <c r="L465">
        <v>1</v>
      </c>
      <c r="N465">
        <v>0.77781699999999998</v>
      </c>
      <c r="O465">
        <v>-382951.41001981479</v>
      </c>
    </row>
    <row r="466" spans="1:15" hidden="1" x14ac:dyDescent="0.35">
      <c r="A466" t="s">
        <v>327</v>
      </c>
      <c r="B466" t="s">
        <v>272</v>
      </c>
      <c r="C466">
        <v>12</v>
      </c>
      <c r="D466" t="s">
        <v>328</v>
      </c>
      <c r="E466">
        <v>36</v>
      </c>
      <c r="F466" t="s">
        <v>328</v>
      </c>
      <c r="G466" t="s">
        <v>350</v>
      </c>
      <c r="H466">
        <v>0.5</v>
      </c>
      <c r="J466">
        <v>-643003.42044967029</v>
      </c>
      <c r="K466">
        <v>0.77781699999999998</v>
      </c>
      <c r="L466">
        <v>1</v>
      </c>
      <c r="N466">
        <v>0.77781699999999998</v>
      </c>
      <c r="O466">
        <v>-500138.99148390122</v>
      </c>
    </row>
    <row r="467" spans="1:15" hidden="1" x14ac:dyDescent="0.35">
      <c r="A467" t="s">
        <v>327</v>
      </c>
      <c r="B467" t="s">
        <v>272</v>
      </c>
      <c r="C467">
        <v>12</v>
      </c>
      <c r="D467" t="s">
        <v>329</v>
      </c>
      <c r="E467">
        <v>34</v>
      </c>
      <c r="F467" t="s">
        <v>329</v>
      </c>
      <c r="G467" t="s">
        <v>330</v>
      </c>
      <c r="H467">
        <v>1</v>
      </c>
      <c r="J467">
        <v>-2004105.8534807151</v>
      </c>
      <c r="K467">
        <v>0.77781699999999998</v>
      </c>
      <c r="L467">
        <v>1</v>
      </c>
      <c r="N467">
        <v>0.77781699999999998</v>
      </c>
      <c r="O467">
        <v>-1558827.602636809</v>
      </c>
    </row>
    <row r="468" spans="1:15" hidden="1" x14ac:dyDescent="0.35">
      <c r="A468" t="s">
        <v>327</v>
      </c>
      <c r="B468" t="s">
        <v>272</v>
      </c>
      <c r="C468">
        <v>12</v>
      </c>
      <c r="D468" t="s">
        <v>331</v>
      </c>
      <c r="E468">
        <v>34</v>
      </c>
      <c r="F468" t="s">
        <v>331</v>
      </c>
      <c r="G468" t="s">
        <v>330</v>
      </c>
      <c r="H468">
        <v>3</v>
      </c>
      <c r="J468">
        <v>-146462.3815066698</v>
      </c>
      <c r="K468">
        <v>0.77781699999999998</v>
      </c>
      <c r="L468">
        <v>1</v>
      </c>
      <c r="N468">
        <v>0.77781699999999998</v>
      </c>
      <c r="O468">
        <v>-113920.9301963734</v>
      </c>
    </row>
    <row r="469" spans="1:15" hidden="1" x14ac:dyDescent="0.35">
      <c r="A469" t="s">
        <v>327</v>
      </c>
      <c r="B469" t="s">
        <v>299</v>
      </c>
      <c r="C469" t="s">
        <v>317</v>
      </c>
      <c r="D469" t="s">
        <v>332</v>
      </c>
      <c r="E469">
        <v>9</v>
      </c>
      <c r="F469" t="s">
        <v>332</v>
      </c>
      <c r="G469" t="s">
        <v>66</v>
      </c>
      <c r="H469">
        <v>1</v>
      </c>
      <c r="I469">
        <v>1</v>
      </c>
      <c r="J469">
        <v>-80.838205247433294</v>
      </c>
      <c r="K469">
        <v>1</v>
      </c>
      <c r="L469">
        <v>1</v>
      </c>
      <c r="N469">
        <v>1</v>
      </c>
      <c r="O469">
        <v>-80.838205247433294</v>
      </c>
    </row>
    <row r="470" spans="1:15" hidden="1" x14ac:dyDescent="0.35">
      <c r="A470" t="s">
        <v>327</v>
      </c>
      <c r="B470" t="s">
        <v>299</v>
      </c>
      <c r="C470" t="s">
        <v>317</v>
      </c>
      <c r="D470" t="s">
        <v>333</v>
      </c>
      <c r="E470">
        <v>9</v>
      </c>
      <c r="F470" t="s">
        <v>333</v>
      </c>
      <c r="G470" t="s">
        <v>66</v>
      </c>
      <c r="H470">
        <v>1</v>
      </c>
      <c r="I470">
        <v>3</v>
      </c>
      <c r="J470">
        <v>-81.059831581216528</v>
      </c>
      <c r="K470">
        <v>1</v>
      </c>
      <c r="L470">
        <v>1</v>
      </c>
      <c r="N470">
        <v>1</v>
      </c>
      <c r="O470">
        <v>-81.059831581216528</v>
      </c>
    </row>
    <row r="471" spans="1:15" hidden="1" x14ac:dyDescent="0.35">
      <c r="A471" t="s">
        <v>327</v>
      </c>
      <c r="B471" t="s">
        <v>299</v>
      </c>
      <c r="C471" t="s">
        <v>317</v>
      </c>
      <c r="D471" t="s">
        <v>334</v>
      </c>
      <c r="E471">
        <v>7</v>
      </c>
      <c r="F471" t="s">
        <v>334</v>
      </c>
      <c r="G471" t="s">
        <v>144</v>
      </c>
      <c r="H471">
        <v>3</v>
      </c>
      <c r="I471">
        <v>0.5</v>
      </c>
      <c r="J471">
        <v>-0.27727492031555839</v>
      </c>
      <c r="K471">
        <v>1</v>
      </c>
      <c r="L471">
        <v>1</v>
      </c>
      <c r="N471">
        <v>1</v>
      </c>
      <c r="O471">
        <v>-0.27727492031555839</v>
      </c>
    </row>
    <row r="472" spans="1:15" hidden="1" x14ac:dyDescent="0.35">
      <c r="A472" t="s">
        <v>327</v>
      </c>
      <c r="B472" t="s">
        <v>299</v>
      </c>
      <c r="C472" t="s">
        <v>317</v>
      </c>
      <c r="D472" t="s">
        <v>335</v>
      </c>
      <c r="E472">
        <v>7</v>
      </c>
      <c r="F472" t="s">
        <v>335</v>
      </c>
      <c r="G472" t="s">
        <v>144</v>
      </c>
      <c r="H472">
        <v>3</v>
      </c>
      <c r="I472">
        <v>1</v>
      </c>
      <c r="J472">
        <v>-40.232590937788032</v>
      </c>
      <c r="K472">
        <v>1</v>
      </c>
      <c r="L472">
        <v>1</v>
      </c>
      <c r="N472">
        <v>1</v>
      </c>
      <c r="O472">
        <v>-40.232590937788032</v>
      </c>
    </row>
    <row r="473" spans="1:15" hidden="1" x14ac:dyDescent="0.35">
      <c r="A473" t="s">
        <v>327</v>
      </c>
      <c r="B473" t="s">
        <v>299</v>
      </c>
      <c r="C473" t="s">
        <v>317</v>
      </c>
      <c r="D473" t="s">
        <v>335</v>
      </c>
      <c r="E473">
        <v>9</v>
      </c>
      <c r="F473" t="s">
        <v>335</v>
      </c>
      <c r="G473" t="s">
        <v>66</v>
      </c>
      <c r="H473">
        <v>3</v>
      </c>
      <c r="I473">
        <v>1</v>
      </c>
      <c r="J473">
        <v>-2.7165297129487711</v>
      </c>
      <c r="K473">
        <v>1</v>
      </c>
      <c r="L473">
        <v>1</v>
      </c>
      <c r="N473">
        <v>1</v>
      </c>
      <c r="O473">
        <v>-2.7165297129487711</v>
      </c>
    </row>
    <row r="474" spans="1:15" hidden="1" x14ac:dyDescent="0.35">
      <c r="A474" t="s">
        <v>327</v>
      </c>
      <c r="B474" t="s">
        <v>299</v>
      </c>
      <c r="C474" t="s">
        <v>317</v>
      </c>
      <c r="D474" t="s">
        <v>335</v>
      </c>
      <c r="E474">
        <v>11</v>
      </c>
      <c r="F474" t="s">
        <v>335</v>
      </c>
      <c r="G474" t="s">
        <v>70</v>
      </c>
      <c r="H474">
        <v>3</v>
      </c>
      <c r="I474">
        <v>1</v>
      </c>
      <c r="J474">
        <v>-100.1575920802016</v>
      </c>
      <c r="K474">
        <v>1</v>
      </c>
      <c r="L474">
        <v>1</v>
      </c>
      <c r="N474">
        <v>1</v>
      </c>
      <c r="O474">
        <v>-100.1575920802016</v>
      </c>
    </row>
    <row r="475" spans="1:15" hidden="1" x14ac:dyDescent="0.35">
      <c r="A475" t="s">
        <v>327</v>
      </c>
      <c r="B475" t="s">
        <v>299</v>
      </c>
      <c r="C475" t="s">
        <v>317</v>
      </c>
      <c r="D475" t="s">
        <v>336</v>
      </c>
      <c r="E475">
        <v>9</v>
      </c>
      <c r="F475" t="s">
        <v>336</v>
      </c>
      <c r="G475" t="s">
        <v>66</v>
      </c>
      <c r="H475">
        <v>3</v>
      </c>
      <c r="I475">
        <v>3</v>
      </c>
      <c r="J475">
        <v>-2.7239773612364981</v>
      </c>
      <c r="K475">
        <v>1</v>
      </c>
      <c r="L475">
        <v>1</v>
      </c>
      <c r="N475">
        <v>1</v>
      </c>
      <c r="O475">
        <v>-2.7239773612364981</v>
      </c>
    </row>
    <row r="476" spans="1:15" hidden="1" x14ac:dyDescent="0.35">
      <c r="A476" t="s">
        <v>327</v>
      </c>
      <c r="B476" t="s">
        <v>299</v>
      </c>
      <c r="C476" t="s">
        <v>317</v>
      </c>
      <c r="D476" t="s">
        <v>336</v>
      </c>
      <c r="E476">
        <v>11</v>
      </c>
      <c r="F476" t="s">
        <v>336</v>
      </c>
      <c r="G476" t="s">
        <v>70</v>
      </c>
      <c r="H476">
        <v>3</v>
      </c>
      <c r="I476">
        <v>3</v>
      </c>
      <c r="J476">
        <v>-32.93039521327227</v>
      </c>
      <c r="K476">
        <v>1</v>
      </c>
      <c r="L476">
        <v>1</v>
      </c>
      <c r="N476">
        <v>1</v>
      </c>
      <c r="O476">
        <v>-32.93039521327227</v>
      </c>
    </row>
    <row r="477" spans="1:15" hidden="1" x14ac:dyDescent="0.35">
      <c r="A477" t="s">
        <v>327</v>
      </c>
      <c r="B477" t="s">
        <v>299</v>
      </c>
      <c r="C477" t="s">
        <v>317</v>
      </c>
      <c r="D477" t="s">
        <v>337</v>
      </c>
      <c r="E477">
        <v>7</v>
      </c>
      <c r="F477" t="s">
        <v>337</v>
      </c>
      <c r="G477" t="s">
        <v>144</v>
      </c>
      <c r="H477">
        <v>5</v>
      </c>
      <c r="I477">
        <v>0.5</v>
      </c>
      <c r="J477">
        <v>-0.1181361666351794</v>
      </c>
      <c r="K477">
        <v>1</v>
      </c>
      <c r="L477">
        <v>1</v>
      </c>
      <c r="N477">
        <v>1</v>
      </c>
      <c r="O477">
        <v>-0.1181361666351794</v>
      </c>
    </row>
    <row r="478" spans="1:15" hidden="1" x14ac:dyDescent="0.35">
      <c r="A478" t="s">
        <v>327</v>
      </c>
      <c r="B478" t="s">
        <v>299</v>
      </c>
      <c r="C478" t="s">
        <v>317</v>
      </c>
      <c r="D478" t="s">
        <v>338</v>
      </c>
      <c r="E478">
        <v>7</v>
      </c>
      <c r="F478" t="s">
        <v>338</v>
      </c>
      <c r="G478" t="s">
        <v>144</v>
      </c>
      <c r="H478">
        <v>5</v>
      </c>
      <c r="I478">
        <v>1</v>
      </c>
      <c r="J478">
        <v>-17.141557778764739</v>
      </c>
      <c r="K478">
        <v>1</v>
      </c>
      <c r="L478">
        <v>1</v>
      </c>
      <c r="N478">
        <v>1</v>
      </c>
      <c r="O478">
        <v>-17.141557778764739</v>
      </c>
    </row>
    <row r="479" spans="1:15" hidden="1" x14ac:dyDescent="0.35">
      <c r="A479" t="s">
        <v>327</v>
      </c>
      <c r="B479" t="s">
        <v>299</v>
      </c>
      <c r="C479" t="s">
        <v>317</v>
      </c>
      <c r="D479" t="s">
        <v>338</v>
      </c>
      <c r="E479">
        <v>11</v>
      </c>
      <c r="F479" t="s">
        <v>338</v>
      </c>
      <c r="G479" t="s">
        <v>70</v>
      </c>
      <c r="H479">
        <v>5</v>
      </c>
      <c r="I479">
        <v>1</v>
      </c>
      <c r="J479">
        <v>-1.4253596929150461</v>
      </c>
      <c r="K479">
        <v>1</v>
      </c>
      <c r="L479">
        <v>1</v>
      </c>
      <c r="N479">
        <v>1</v>
      </c>
      <c r="O479">
        <v>-1.4253596929150461</v>
      </c>
    </row>
    <row r="480" spans="1:15" hidden="1" x14ac:dyDescent="0.35">
      <c r="A480" t="s">
        <v>327</v>
      </c>
      <c r="B480" t="s">
        <v>299</v>
      </c>
      <c r="C480" t="s">
        <v>317</v>
      </c>
      <c r="D480" t="s">
        <v>339</v>
      </c>
      <c r="E480">
        <v>11</v>
      </c>
      <c r="F480" t="s">
        <v>339</v>
      </c>
      <c r="G480" t="s">
        <v>70</v>
      </c>
      <c r="H480">
        <v>5</v>
      </c>
      <c r="I480">
        <v>3</v>
      </c>
      <c r="J480">
        <v>-0.46863804364601092</v>
      </c>
      <c r="K480">
        <v>1</v>
      </c>
      <c r="L480">
        <v>1</v>
      </c>
      <c r="N480">
        <v>1</v>
      </c>
      <c r="O480">
        <v>-0.46863804364601092</v>
      </c>
    </row>
  </sheetData>
  <autoFilter ref="A1:O480" xr:uid="{00000000-0001-0000-0200-000000000000}">
    <filterColumn colId="3">
      <filters>
        <filter val="CSR_SEC_NONCTP_1_0.5Y  [RMBS-2023-1-A (Senior)]"/>
        <filter val="CSR_SEC_NONCTP_1_1.0Y  [RMBS-2023-1-A (Senior)]"/>
        <filter val="CSR_SEC_NONCTP_1_3.0Y  [RMBS-2023-1-A (Senior)]"/>
        <filter val="CSR_SEC_NONCTP_12_0.5Y  [CMBS-2024-RE1-B (Mezz)]"/>
        <filter val="CSR_SEC_NONCTP_12_1.0Y  [CMBS-2024-RE1-B (Mezz)]"/>
        <filter val="CSR_SEC_NONCTP_12_10.0Y  [CMBS-2024-RE1-B (Mezz)]"/>
        <filter val="CSR_SEC_NONCTP_12_3.0Y  [CMBS-2024-RE1-B (Mezz)]"/>
        <filter val="CSR_SEC_NONCTP_12_5.0Y  [CMBS-2024-RE1-B (Mezz)]"/>
        <filter val="CSR_SEC_NONCTP_14_0.5Y  [CC-ABS-2024-B (Mezz)]"/>
        <filter val="CSR_SEC_NONCTP_14_0.5Y  [CC-ABS-2024-C (Junior)]"/>
        <filter val="CSR_SEC_NONCTP_14_1.0Y  [CC-ABS-2024-B (Mezz)]"/>
        <filter val="CSR_SEC_NONCTP_14_1.0Y  [CC-ABS-2024-C (Junior)]"/>
        <filter val="CSR_SEC_NONCTP_14_3.0Y  [CC-ABS-2024-B (Mezz)]"/>
        <filter val="CSR_SEC_NONCTP_14_3.0Y  [CC-ABS-2024-C (Junior)]"/>
        <filter val="CSR_SEC_NONCTP_14_5.0Y  [CC-ABS-2024-B (Mezz)]"/>
        <filter val="CSR_SEC_NONCTP_14_5.0Y  [CC-ABS-2024-C (Junior)]"/>
        <filter val="CSR_SEC_NONCTP_15_0.5Y  [AUTO-2024-1-B (Short Mezz)]"/>
        <filter val="CSR_SEC_NONCTP_15_1.0Y  [AUTO-2024-1-B (Short Mezz)]"/>
        <filter val="CSR_SEC_NONCTP_15_3.0Y  [AUTO-2024-1-B (Short Mezz)]"/>
        <filter val="CSR_SEC_NONCTP_15_5.0Y  [AUTO-2024-1-B (Short Mezz)]"/>
        <filter val="CSR_SEC_NONCTP_16_0.5Y  [CLO-2023-LVG-B (Mezz)]"/>
        <filter val="CSR_SEC_NONCTP_16_0.5Y  [CLO-2023-LVG-C (Mezz)]"/>
        <filter val="CSR_SEC_NONCTP_16_1.0Y  [CLO-2023-LVG-B (Mezz)]"/>
        <filter val="CSR_SEC_NONCTP_16_1.0Y  [CLO-2023-LVG-C (Mezz)]"/>
        <filter val="CSR_SEC_NONCTP_16_3.0Y  [CLO-2023-LVG-B (Mezz)]"/>
        <filter val="CSR_SEC_NONCTP_16_3.0Y  [CLO-2023-LVG-C (Mezz)]"/>
        <filter val="CSR_SEC_NONCTP_16_5.0Y  [CLO-2023-LVG-B (Mezz)]"/>
        <filter val="CSR_SEC_NONCTP_16_5.0Y  [CLO-2023-LVG-C (Mezz)]"/>
        <filter val="CSR_SEC_NONCTP_4_0.5Y  [CMBS-2024-RE1-A1 (Senior)]"/>
        <filter val="CSR_SEC_NONCTP_4_0.5Y  [CMBS-2024-RE1-A2]"/>
        <filter val="CSR_SEC_NONCTP_4_1.0Y  [CMBS-2024-RE1-A1 (Senior)]"/>
        <filter val="CSR_SEC_NONCTP_4_1.0Y  [CMBS-2024-RE1-A2]"/>
        <filter val="CSR_SEC_NONCTP_4_10.0Y  [CMBS-2024-RE1-A1 (Senior)]"/>
        <filter val="CSR_SEC_NONCTP_4_10.0Y  [CMBS-2024-RE1-A2]"/>
        <filter val="CSR_SEC_NONCTP_4_3.0Y  [CMBS-2024-RE1-A1 (Senior)]"/>
        <filter val="CSR_SEC_NONCTP_4_3.0Y  [CMBS-2024-RE1-A2]"/>
        <filter val="CSR_SEC_NONCTP_4_5.0Y  [CMBS-2024-RE1-A1 (Senior)]"/>
        <filter val="CSR_SEC_NONCTP_4_5.0Y  [CMBS-2024-RE1-A2]"/>
        <filter val="CSR_SEC_NONCTP_6_0.5Y  [ABCP MultiSeller 2025]"/>
        <filter val="CSR_SEC_NONCTP_6_0.5Y  [CC-ABS-2024-A (Senior)]"/>
        <filter val="CSR_SEC_NONCTP_6_1.0Y  [ABCP MultiSeller 2025]"/>
        <filter val="CSR_SEC_NONCTP_6_1.0Y  [CC-ABS-2024-A (Senior)]"/>
        <filter val="CSR_SEC_NONCTP_6_3.0Y  [CC-ABS-2024-A (Senior)]"/>
        <filter val="CSR_SEC_NONCTP_6_5.0Y  [CC-ABS-2024-A (Senior)]"/>
        <filter val="CSR_SEC_NONCTP_7_0.5Y  [AUTO-2024-1-A (Senior)]"/>
        <filter val="CSR_SEC_NONCTP_7_1.0Y  [AUTO-2024-1-A (Senior)]"/>
        <filter val="CSR_SEC_NONCTP_7_3.0Y  [AUTO-2024-1-A (Senior)]"/>
        <filter val="CSR_SEC_NONCTP_7_5.0Y  [AUTO-2024-1-A (Senior)]"/>
        <filter val="CSR_SEC_NONCTP_8_0.5Y  [CLO-2019-LVG-A (Senior)]"/>
        <filter val="CSR_SEC_NONCTP_8_1.0Y  [CLO-2019-LVG-A (Senior)]"/>
        <filter val="CSR_SEC_NONCTP_8_3.0Y  [CLO-2019-LVG-A (Senior)]"/>
        <filter val="CSR_SEC_NONCTP_8_5.0Y  [CLO-2019-LVG-A (Senior)]"/>
        <filter val="CSR_SEC_NONCTP_9_0.5Y  [RMBS-2023-1-B (Short Mezz)]"/>
        <filter val="CSR_SEC_NONCTP_9_0.5Y  [RMBS-2023-1-M (Mezz)]"/>
        <filter val="CSR_SEC_NONCTP_9_1.0Y  [RMBS-2023-1-B (Short Mezz)]"/>
        <filter val="CSR_SEC_NONCTP_9_1.0Y  [RMBS-2023-1-M (Mezz)]"/>
        <filter val="CSR_SEC_NONCTP_9_3.0Y  [RMBS-2023-1-B (Short Mezz)]"/>
        <filter val="CSR_SEC_NONCTP_9_3.0Y  [RMBS-2023-1-M (Mezz)]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2"/>
  <sheetViews>
    <sheetView workbookViewId="0"/>
  </sheetViews>
  <sheetFormatPr defaultRowHeight="14.5" x14ac:dyDescent="0.35"/>
  <sheetData>
    <row r="1" spans="1:9" x14ac:dyDescent="0.35">
      <c r="A1" s="1" t="s">
        <v>12</v>
      </c>
      <c r="B1" s="1" t="s">
        <v>13</v>
      </c>
      <c r="C1" s="1" t="s">
        <v>14</v>
      </c>
      <c r="D1" s="1" t="s">
        <v>358</v>
      </c>
      <c r="E1" s="1" t="s">
        <v>22</v>
      </c>
      <c r="F1" s="1" t="s">
        <v>359</v>
      </c>
      <c r="G1" s="1" t="s">
        <v>360</v>
      </c>
      <c r="H1" s="1" t="s">
        <v>361</v>
      </c>
      <c r="I1" s="1" t="s">
        <v>362</v>
      </c>
    </row>
    <row r="2" spans="1:9" x14ac:dyDescent="0.35">
      <c r="A2" t="s">
        <v>23</v>
      </c>
      <c r="B2" t="s">
        <v>24</v>
      </c>
      <c r="C2">
        <v>2</v>
      </c>
      <c r="D2">
        <v>5</v>
      </c>
      <c r="E2">
        <v>15</v>
      </c>
      <c r="F2">
        <v>3891580</v>
      </c>
      <c r="G2">
        <v>3746137.348417534</v>
      </c>
      <c r="H2" t="s">
        <v>363</v>
      </c>
      <c r="I2" t="s">
        <v>364</v>
      </c>
    </row>
    <row r="3" spans="1:9" x14ac:dyDescent="0.35">
      <c r="A3" t="s">
        <v>23</v>
      </c>
      <c r="B3" t="s">
        <v>24</v>
      </c>
      <c r="C3">
        <v>5</v>
      </c>
      <c r="D3">
        <v>5</v>
      </c>
      <c r="E3">
        <v>15</v>
      </c>
      <c r="F3">
        <v>3152020</v>
      </c>
      <c r="G3">
        <v>2438964.719646432</v>
      </c>
      <c r="H3" t="s">
        <v>363</v>
      </c>
      <c r="I3" t="s">
        <v>364</v>
      </c>
    </row>
    <row r="4" spans="1:9" x14ac:dyDescent="0.35">
      <c r="A4" t="s">
        <v>23</v>
      </c>
      <c r="B4" t="s">
        <v>24</v>
      </c>
      <c r="C4">
        <v>6</v>
      </c>
      <c r="D4">
        <v>1</v>
      </c>
      <c r="E4">
        <v>3</v>
      </c>
      <c r="F4">
        <v>1619527.5</v>
      </c>
      <c r="G4">
        <v>1619527.5</v>
      </c>
      <c r="H4" t="s">
        <v>363</v>
      </c>
      <c r="I4" t="s">
        <v>364</v>
      </c>
    </row>
    <row r="5" spans="1:9" x14ac:dyDescent="0.35">
      <c r="A5" t="s">
        <v>23</v>
      </c>
      <c r="B5" t="s">
        <v>24</v>
      </c>
      <c r="C5">
        <v>7</v>
      </c>
      <c r="D5">
        <v>2</v>
      </c>
      <c r="E5">
        <v>6</v>
      </c>
      <c r="F5">
        <v>1883930</v>
      </c>
      <c r="G5">
        <v>1690847.6351493059</v>
      </c>
      <c r="H5" t="s">
        <v>363</v>
      </c>
      <c r="I5" t="s">
        <v>364</v>
      </c>
    </row>
    <row r="6" spans="1:9" x14ac:dyDescent="0.35">
      <c r="A6" t="s">
        <v>23</v>
      </c>
      <c r="B6" t="s">
        <v>24</v>
      </c>
      <c r="C6">
        <v>8</v>
      </c>
      <c r="D6">
        <v>6</v>
      </c>
      <c r="E6">
        <v>18</v>
      </c>
      <c r="F6">
        <v>3701880</v>
      </c>
      <c r="G6">
        <v>2525620.816350346</v>
      </c>
      <c r="H6" t="s">
        <v>363</v>
      </c>
      <c r="I6" t="s">
        <v>364</v>
      </c>
    </row>
    <row r="7" spans="1:9" x14ac:dyDescent="0.35">
      <c r="A7" t="s">
        <v>23</v>
      </c>
      <c r="B7" t="s">
        <v>24</v>
      </c>
      <c r="C7">
        <v>9</v>
      </c>
      <c r="D7">
        <v>2</v>
      </c>
      <c r="E7">
        <v>6</v>
      </c>
      <c r="F7">
        <v>704575</v>
      </c>
      <c r="G7">
        <v>553278.5195145841</v>
      </c>
      <c r="H7" t="s">
        <v>363</v>
      </c>
      <c r="I7" t="s">
        <v>364</v>
      </c>
    </row>
    <row r="8" spans="1:9" x14ac:dyDescent="0.35">
      <c r="A8" t="s">
        <v>23</v>
      </c>
      <c r="B8" t="s">
        <v>24</v>
      </c>
      <c r="C8">
        <v>10</v>
      </c>
      <c r="D8">
        <v>4</v>
      </c>
      <c r="E8">
        <v>12</v>
      </c>
      <c r="F8">
        <v>1605572.5</v>
      </c>
      <c r="G8">
        <v>1122363.4174160119</v>
      </c>
      <c r="H8" t="s">
        <v>363</v>
      </c>
      <c r="I8" t="s">
        <v>364</v>
      </c>
    </row>
    <row r="9" spans="1:9" x14ac:dyDescent="0.35">
      <c r="A9" t="s">
        <v>23</v>
      </c>
      <c r="B9" t="s">
        <v>51</v>
      </c>
      <c r="C9">
        <v>3</v>
      </c>
      <c r="D9">
        <v>6</v>
      </c>
      <c r="E9">
        <v>6</v>
      </c>
      <c r="F9">
        <v>-136195.23068475991</v>
      </c>
      <c r="G9">
        <v>94057.093847230237</v>
      </c>
      <c r="H9" t="s">
        <v>363</v>
      </c>
      <c r="I9" t="s">
        <v>364</v>
      </c>
    </row>
    <row r="10" spans="1:9" x14ac:dyDescent="0.35">
      <c r="A10" t="s">
        <v>23</v>
      </c>
      <c r="B10" t="s">
        <v>51</v>
      </c>
      <c r="C10">
        <v>4</v>
      </c>
      <c r="D10">
        <v>18</v>
      </c>
      <c r="E10">
        <v>18</v>
      </c>
      <c r="F10">
        <v>-328663.75158985239</v>
      </c>
      <c r="G10">
        <v>189878.10699723251</v>
      </c>
      <c r="H10" t="s">
        <v>363</v>
      </c>
      <c r="I10" t="s">
        <v>364</v>
      </c>
    </row>
    <row r="11" spans="1:9" x14ac:dyDescent="0.35">
      <c r="A11" t="s">
        <v>23</v>
      </c>
      <c r="B11" t="s">
        <v>51</v>
      </c>
      <c r="C11">
        <v>5</v>
      </c>
      <c r="D11">
        <v>12</v>
      </c>
      <c r="E11">
        <v>12</v>
      </c>
      <c r="F11">
        <v>-312046.1054888221</v>
      </c>
      <c r="G11">
        <v>203862.11408394991</v>
      </c>
      <c r="H11" t="s">
        <v>363</v>
      </c>
      <c r="I11" t="s">
        <v>364</v>
      </c>
    </row>
    <row r="12" spans="1:9" x14ac:dyDescent="0.35">
      <c r="A12" t="s">
        <v>23</v>
      </c>
      <c r="B12" t="s">
        <v>51</v>
      </c>
      <c r="C12">
        <v>6</v>
      </c>
      <c r="D12">
        <v>21</v>
      </c>
      <c r="E12">
        <v>21</v>
      </c>
      <c r="F12">
        <v>-269546.72280388762</v>
      </c>
      <c r="G12">
        <v>153309.53366722821</v>
      </c>
      <c r="H12" t="s">
        <v>363</v>
      </c>
      <c r="I12" t="s">
        <v>364</v>
      </c>
    </row>
    <row r="13" spans="1:9" x14ac:dyDescent="0.35">
      <c r="A13" t="s">
        <v>23</v>
      </c>
      <c r="B13" t="s">
        <v>51</v>
      </c>
      <c r="C13">
        <v>7</v>
      </c>
      <c r="D13">
        <v>9</v>
      </c>
      <c r="E13">
        <v>9</v>
      </c>
      <c r="F13">
        <v>-81289.082937842919</v>
      </c>
      <c r="G13">
        <v>54514.089142642682</v>
      </c>
      <c r="H13" t="s">
        <v>363</v>
      </c>
      <c r="I13" t="s">
        <v>364</v>
      </c>
    </row>
    <row r="14" spans="1:9" x14ac:dyDescent="0.35">
      <c r="A14" t="s">
        <v>23</v>
      </c>
      <c r="B14" t="s">
        <v>158</v>
      </c>
      <c r="C14">
        <v>1</v>
      </c>
      <c r="D14">
        <v>3</v>
      </c>
      <c r="E14">
        <v>3</v>
      </c>
      <c r="F14">
        <v>-846905.66391080618</v>
      </c>
      <c r="G14">
        <v>807039.71001703443</v>
      </c>
      <c r="H14" t="s">
        <v>363</v>
      </c>
      <c r="I14" t="s">
        <v>364</v>
      </c>
    </row>
    <row r="15" spans="1:9" x14ac:dyDescent="0.35">
      <c r="A15" t="s">
        <v>23</v>
      </c>
      <c r="B15" t="s">
        <v>158</v>
      </c>
      <c r="C15">
        <v>4</v>
      </c>
      <c r="D15">
        <v>10</v>
      </c>
      <c r="E15">
        <v>10</v>
      </c>
      <c r="F15">
        <v>-13674118.372000759</v>
      </c>
      <c r="G15">
        <v>11667636.39820721</v>
      </c>
      <c r="H15" t="s">
        <v>363</v>
      </c>
      <c r="I15" t="s">
        <v>364</v>
      </c>
    </row>
    <row r="16" spans="1:9" x14ac:dyDescent="0.35">
      <c r="A16" t="s">
        <v>23</v>
      </c>
      <c r="B16" t="s">
        <v>158</v>
      </c>
      <c r="C16">
        <v>6</v>
      </c>
      <c r="D16">
        <v>6</v>
      </c>
      <c r="E16">
        <v>6</v>
      </c>
      <c r="F16">
        <v>-6945159.0182232866</v>
      </c>
      <c r="G16">
        <v>5353882.973278827</v>
      </c>
      <c r="H16" t="s">
        <v>363</v>
      </c>
      <c r="I16" t="s">
        <v>364</v>
      </c>
    </row>
    <row r="17" spans="1:9" x14ac:dyDescent="0.35">
      <c r="A17" t="s">
        <v>23</v>
      </c>
      <c r="B17" t="s">
        <v>158</v>
      </c>
      <c r="C17">
        <v>7</v>
      </c>
      <c r="D17">
        <v>4</v>
      </c>
      <c r="E17">
        <v>4</v>
      </c>
      <c r="F17">
        <v>-1069821.414162219</v>
      </c>
      <c r="G17">
        <v>948550.28912469896</v>
      </c>
      <c r="H17" t="s">
        <v>363</v>
      </c>
      <c r="I17" t="s">
        <v>364</v>
      </c>
    </row>
    <row r="18" spans="1:9" x14ac:dyDescent="0.35">
      <c r="A18" t="s">
        <v>23</v>
      </c>
      <c r="B18" t="s">
        <v>158</v>
      </c>
      <c r="C18">
        <v>8</v>
      </c>
      <c r="D18">
        <v>4</v>
      </c>
      <c r="E18">
        <v>4</v>
      </c>
      <c r="F18">
        <v>-4707523.9205783606</v>
      </c>
      <c r="G18">
        <v>4077701.891566189</v>
      </c>
      <c r="H18" t="s">
        <v>363</v>
      </c>
      <c r="I18" t="s">
        <v>364</v>
      </c>
    </row>
    <row r="19" spans="1:9" x14ac:dyDescent="0.35">
      <c r="A19" t="s">
        <v>23</v>
      </c>
      <c r="B19" t="s">
        <v>158</v>
      </c>
      <c r="C19">
        <v>9</v>
      </c>
      <c r="D19">
        <v>6</v>
      </c>
      <c r="E19">
        <v>6</v>
      </c>
      <c r="F19">
        <v>-199887.93445585761</v>
      </c>
      <c r="G19">
        <v>270967.39930902421</v>
      </c>
      <c r="H19" t="s">
        <v>363</v>
      </c>
      <c r="I19" t="s">
        <v>364</v>
      </c>
    </row>
    <row r="20" spans="1:9" x14ac:dyDescent="0.35">
      <c r="A20" t="s">
        <v>23</v>
      </c>
      <c r="B20" t="s">
        <v>158</v>
      </c>
      <c r="C20">
        <v>12</v>
      </c>
      <c r="D20">
        <v>5</v>
      </c>
      <c r="E20">
        <v>5</v>
      </c>
      <c r="F20">
        <v>-1950821.595627815</v>
      </c>
      <c r="G20">
        <v>1736900.4358081359</v>
      </c>
      <c r="H20" t="s">
        <v>363</v>
      </c>
      <c r="I20" t="s">
        <v>364</v>
      </c>
    </row>
    <row r="21" spans="1:9" x14ac:dyDescent="0.35">
      <c r="A21" t="s">
        <v>23</v>
      </c>
      <c r="B21" t="s">
        <v>158</v>
      </c>
      <c r="C21">
        <v>14</v>
      </c>
      <c r="D21">
        <v>8</v>
      </c>
      <c r="E21">
        <v>8</v>
      </c>
      <c r="F21">
        <v>-1170403.24422</v>
      </c>
      <c r="G21">
        <v>915497.68701307895</v>
      </c>
      <c r="H21" t="s">
        <v>363</v>
      </c>
      <c r="I21" t="s">
        <v>364</v>
      </c>
    </row>
    <row r="22" spans="1:9" x14ac:dyDescent="0.35">
      <c r="A22" t="s">
        <v>23</v>
      </c>
      <c r="B22" t="s">
        <v>158</v>
      </c>
      <c r="C22">
        <v>15</v>
      </c>
      <c r="D22">
        <v>4</v>
      </c>
      <c r="E22">
        <v>4</v>
      </c>
      <c r="F22">
        <v>196432.42565835829</v>
      </c>
      <c r="G22">
        <v>174096.72100681881</v>
      </c>
      <c r="H22" t="s">
        <v>363</v>
      </c>
      <c r="I22" t="s">
        <v>364</v>
      </c>
    </row>
    <row r="23" spans="1:9" x14ac:dyDescent="0.35">
      <c r="A23" t="s">
        <v>23</v>
      </c>
      <c r="B23" t="s">
        <v>158</v>
      </c>
      <c r="C23">
        <v>16</v>
      </c>
      <c r="D23">
        <v>8</v>
      </c>
      <c r="E23">
        <v>8</v>
      </c>
      <c r="F23">
        <v>-3663377.1435123868</v>
      </c>
      <c r="G23">
        <v>2765071.9037103602</v>
      </c>
      <c r="H23" t="s">
        <v>363</v>
      </c>
      <c r="I23" t="s">
        <v>364</v>
      </c>
    </row>
    <row r="24" spans="1:9" x14ac:dyDescent="0.35">
      <c r="A24" t="s">
        <v>23</v>
      </c>
      <c r="B24" t="s">
        <v>272</v>
      </c>
      <c r="C24">
        <v>5</v>
      </c>
      <c r="D24">
        <v>1</v>
      </c>
      <c r="E24">
        <v>1</v>
      </c>
      <c r="F24">
        <v>774226.32299999997</v>
      </c>
      <c r="G24">
        <v>774226.32299999997</v>
      </c>
      <c r="H24" t="s">
        <v>363</v>
      </c>
      <c r="I24" t="s">
        <v>364</v>
      </c>
    </row>
    <row r="25" spans="1:9" x14ac:dyDescent="0.35">
      <c r="A25" t="s">
        <v>23</v>
      </c>
      <c r="B25" t="s">
        <v>272</v>
      </c>
      <c r="C25">
        <v>7</v>
      </c>
      <c r="D25">
        <v>1</v>
      </c>
      <c r="E25">
        <v>1</v>
      </c>
      <c r="F25">
        <v>227125.18400000001</v>
      </c>
      <c r="G25">
        <v>227125.18400000001</v>
      </c>
      <c r="H25" t="s">
        <v>363</v>
      </c>
      <c r="I25" t="s">
        <v>364</v>
      </c>
    </row>
    <row r="26" spans="1:9" x14ac:dyDescent="0.35">
      <c r="A26" t="s">
        <v>23</v>
      </c>
      <c r="B26" t="s">
        <v>272</v>
      </c>
      <c r="C26">
        <v>8</v>
      </c>
      <c r="D26">
        <v>8</v>
      </c>
      <c r="E26">
        <v>8</v>
      </c>
      <c r="F26">
        <v>10050426.220000001</v>
      </c>
      <c r="G26">
        <v>5750864.2043536576</v>
      </c>
      <c r="H26" t="s">
        <v>363</v>
      </c>
      <c r="I26" t="s">
        <v>364</v>
      </c>
    </row>
    <row r="27" spans="1:9" x14ac:dyDescent="0.35">
      <c r="A27" t="s">
        <v>23</v>
      </c>
      <c r="B27" t="s">
        <v>272</v>
      </c>
      <c r="C27">
        <v>12</v>
      </c>
      <c r="D27">
        <v>1</v>
      </c>
      <c r="E27">
        <v>4</v>
      </c>
      <c r="F27">
        <v>-785.31781240423163</v>
      </c>
      <c r="G27">
        <v>785.31781240423163</v>
      </c>
      <c r="H27" t="s">
        <v>363</v>
      </c>
      <c r="I27" t="s">
        <v>364</v>
      </c>
    </row>
    <row r="28" spans="1:9" x14ac:dyDescent="0.35">
      <c r="A28" t="s">
        <v>23</v>
      </c>
      <c r="B28" t="s">
        <v>295</v>
      </c>
      <c r="C28" t="s">
        <v>296</v>
      </c>
      <c r="D28">
        <v>1</v>
      </c>
      <c r="E28">
        <v>4</v>
      </c>
      <c r="F28">
        <v>-1447270.804393566</v>
      </c>
      <c r="G28">
        <v>1447270.804393566</v>
      </c>
      <c r="H28" t="s">
        <v>363</v>
      </c>
      <c r="I28" t="s">
        <v>364</v>
      </c>
    </row>
    <row r="29" spans="1:9" x14ac:dyDescent="0.35">
      <c r="A29" t="s">
        <v>23</v>
      </c>
      <c r="B29" t="s">
        <v>299</v>
      </c>
      <c r="C29" t="s">
        <v>300</v>
      </c>
      <c r="D29">
        <v>12</v>
      </c>
      <c r="E29">
        <v>34</v>
      </c>
      <c r="F29">
        <v>2231172.796177038</v>
      </c>
      <c r="G29">
        <v>2065703.0709832129</v>
      </c>
      <c r="H29" t="s">
        <v>363</v>
      </c>
      <c r="I29" t="s">
        <v>364</v>
      </c>
    </row>
    <row r="30" spans="1:9" x14ac:dyDescent="0.35">
      <c r="A30" t="s">
        <v>23</v>
      </c>
      <c r="B30" t="s">
        <v>299</v>
      </c>
      <c r="C30" t="s">
        <v>317</v>
      </c>
      <c r="D30">
        <v>7</v>
      </c>
      <c r="E30">
        <v>211</v>
      </c>
      <c r="F30">
        <v>-19257494.926659688</v>
      </c>
      <c r="G30">
        <v>18039900.691327389</v>
      </c>
      <c r="H30" t="s">
        <v>363</v>
      </c>
      <c r="I30" t="s">
        <v>364</v>
      </c>
    </row>
    <row r="31" spans="1:9" x14ac:dyDescent="0.35">
      <c r="A31" t="s">
        <v>327</v>
      </c>
      <c r="B31" t="s">
        <v>272</v>
      </c>
      <c r="C31">
        <v>12</v>
      </c>
      <c r="D31">
        <v>3</v>
      </c>
      <c r="E31">
        <v>5</v>
      </c>
      <c r="F31">
        <v>-3159511.898233219</v>
      </c>
      <c r="G31">
        <v>3137382.0002974202</v>
      </c>
      <c r="H31" t="s">
        <v>363</v>
      </c>
      <c r="I31" t="s">
        <v>364</v>
      </c>
    </row>
    <row r="32" spans="1:9" x14ac:dyDescent="0.35">
      <c r="A32" t="s">
        <v>327</v>
      </c>
      <c r="B32" t="s">
        <v>299</v>
      </c>
      <c r="C32" t="s">
        <v>317</v>
      </c>
      <c r="D32">
        <v>8</v>
      </c>
      <c r="E32">
        <v>12</v>
      </c>
      <c r="F32">
        <v>-360.09008873637362</v>
      </c>
      <c r="G32">
        <v>352.92476814842468</v>
      </c>
      <c r="H32" t="s">
        <v>363</v>
      </c>
      <c r="I32" t="s">
        <v>364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88"/>
  <sheetViews>
    <sheetView workbookViewId="0"/>
  </sheetViews>
  <sheetFormatPr defaultRowHeight="14.5" x14ac:dyDescent="0.35"/>
  <sheetData>
    <row r="1" spans="1:6" x14ac:dyDescent="0.35">
      <c r="A1" t="s">
        <v>365</v>
      </c>
    </row>
    <row r="2" spans="1:6" x14ac:dyDescent="0.35">
      <c r="B2" t="s">
        <v>25</v>
      </c>
      <c r="C2" t="s">
        <v>27</v>
      </c>
      <c r="D2" t="s">
        <v>28</v>
      </c>
      <c r="E2" t="s">
        <v>29</v>
      </c>
      <c r="F2" t="s">
        <v>30</v>
      </c>
    </row>
    <row r="3" spans="1:6" x14ac:dyDescent="0.35">
      <c r="A3" t="s">
        <v>25</v>
      </c>
      <c r="B3">
        <v>1</v>
      </c>
      <c r="C3">
        <v>0.89999999999999991</v>
      </c>
      <c r="D3">
        <v>0.89999999999999991</v>
      </c>
      <c r="E3">
        <v>0.89999999999999991</v>
      </c>
      <c r="F3">
        <v>0.89999999999999991</v>
      </c>
    </row>
    <row r="4" spans="1:6" x14ac:dyDescent="0.35">
      <c r="A4" t="s">
        <v>27</v>
      </c>
      <c r="B4">
        <v>0.89999999999999991</v>
      </c>
      <c r="C4">
        <v>1</v>
      </c>
      <c r="D4">
        <v>0.89999999999999991</v>
      </c>
      <c r="E4">
        <v>0.89999999999999991</v>
      </c>
      <c r="F4">
        <v>0.89999999999999991</v>
      </c>
    </row>
    <row r="5" spans="1:6" x14ac:dyDescent="0.35">
      <c r="A5" t="s">
        <v>28</v>
      </c>
      <c r="B5">
        <v>0.89999999999999991</v>
      </c>
      <c r="C5">
        <v>0.89999999999999991</v>
      </c>
      <c r="D5">
        <v>1</v>
      </c>
      <c r="E5">
        <v>0.89999999999999991</v>
      </c>
      <c r="F5">
        <v>0.89999999999999991</v>
      </c>
    </row>
    <row r="6" spans="1:6" x14ac:dyDescent="0.35">
      <c r="A6" t="s">
        <v>29</v>
      </c>
      <c r="B6">
        <v>0.89999999999999991</v>
      </c>
      <c r="C6">
        <v>0.89999999999999991</v>
      </c>
      <c r="D6">
        <v>0.89999999999999991</v>
      </c>
      <c r="E6">
        <v>1</v>
      </c>
      <c r="F6">
        <v>0.89999999999999991</v>
      </c>
    </row>
    <row r="7" spans="1:6" x14ac:dyDescent="0.35">
      <c r="A7" t="s">
        <v>30</v>
      </c>
      <c r="B7">
        <v>0.89999999999999991</v>
      </c>
      <c r="C7">
        <v>0.89999999999999991</v>
      </c>
      <c r="D7">
        <v>0.89999999999999991</v>
      </c>
      <c r="E7">
        <v>0.89999999999999991</v>
      </c>
      <c r="F7">
        <v>1</v>
      </c>
    </row>
    <row r="10" spans="1:6" x14ac:dyDescent="0.35">
      <c r="A10" t="s">
        <v>366</v>
      </c>
    </row>
    <row r="11" spans="1:6" x14ac:dyDescent="0.35">
      <c r="B11" t="s">
        <v>31</v>
      </c>
      <c r="C11" t="s">
        <v>32</v>
      </c>
      <c r="D11" t="s">
        <v>33</v>
      </c>
      <c r="E11" t="s">
        <v>34</v>
      </c>
      <c r="F11" t="s">
        <v>35</v>
      </c>
    </row>
    <row r="12" spans="1:6" x14ac:dyDescent="0.35">
      <c r="A12" t="s">
        <v>31</v>
      </c>
      <c r="B12">
        <v>1</v>
      </c>
      <c r="C12">
        <v>0.45</v>
      </c>
      <c r="D12">
        <v>0.45</v>
      </c>
      <c r="E12">
        <v>0.45</v>
      </c>
      <c r="F12">
        <v>0.45</v>
      </c>
    </row>
    <row r="13" spans="1:6" x14ac:dyDescent="0.35">
      <c r="A13" t="s">
        <v>32</v>
      </c>
      <c r="B13">
        <v>0.45</v>
      </c>
      <c r="C13">
        <v>1</v>
      </c>
      <c r="D13">
        <v>0.45</v>
      </c>
      <c r="E13">
        <v>0.45</v>
      </c>
      <c r="F13">
        <v>0.45</v>
      </c>
    </row>
    <row r="14" spans="1:6" x14ac:dyDescent="0.35">
      <c r="A14" t="s">
        <v>33</v>
      </c>
      <c r="B14">
        <v>0.45</v>
      </c>
      <c r="C14">
        <v>0.45</v>
      </c>
      <c r="D14">
        <v>1</v>
      </c>
      <c r="E14">
        <v>0.45</v>
      </c>
      <c r="F14">
        <v>0.45</v>
      </c>
    </row>
    <row r="15" spans="1:6" x14ac:dyDescent="0.35">
      <c r="A15" t="s">
        <v>34</v>
      </c>
      <c r="B15">
        <v>0.45</v>
      </c>
      <c r="C15">
        <v>0.45</v>
      </c>
      <c r="D15">
        <v>0.45</v>
      </c>
      <c r="E15">
        <v>1</v>
      </c>
      <c r="F15">
        <v>0.45</v>
      </c>
    </row>
    <row r="16" spans="1:6" x14ac:dyDescent="0.35">
      <c r="A16" t="s">
        <v>35</v>
      </c>
      <c r="B16">
        <v>0.45</v>
      </c>
      <c r="C16">
        <v>0.45</v>
      </c>
      <c r="D16">
        <v>0.45</v>
      </c>
      <c r="E16">
        <v>0.45</v>
      </c>
      <c r="F16">
        <v>1</v>
      </c>
    </row>
    <row r="19" spans="1:7" x14ac:dyDescent="0.35">
      <c r="A19" t="s">
        <v>367</v>
      </c>
    </row>
    <row r="20" spans="1:7" x14ac:dyDescent="0.35">
      <c r="B20" t="s">
        <v>37</v>
      </c>
      <c r="C20" t="s">
        <v>38</v>
      </c>
    </row>
    <row r="21" spans="1:7" x14ac:dyDescent="0.35">
      <c r="A21" t="s">
        <v>37</v>
      </c>
      <c r="B21">
        <v>1</v>
      </c>
      <c r="C21">
        <v>0.41249999999999998</v>
      </c>
    </row>
    <row r="22" spans="1:7" x14ac:dyDescent="0.35">
      <c r="A22" t="s">
        <v>38</v>
      </c>
      <c r="B22">
        <v>0.41249999999999998</v>
      </c>
      <c r="C22">
        <v>1</v>
      </c>
    </row>
    <row r="25" spans="1:7" x14ac:dyDescent="0.35">
      <c r="A25" t="s">
        <v>368</v>
      </c>
    </row>
    <row r="26" spans="1:7" x14ac:dyDescent="0.35"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</row>
    <row r="27" spans="1:7" x14ac:dyDescent="0.35">
      <c r="A27" t="s">
        <v>39</v>
      </c>
      <c r="B27">
        <v>1</v>
      </c>
      <c r="C27">
        <v>0.33750000000000002</v>
      </c>
      <c r="D27">
        <v>0.33750000000000002</v>
      </c>
      <c r="E27">
        <v>0.33750000000000002</v>
      </c>
      <c r="F27">
        <v>0.33750000000000002</v>
      </c>
      <c r="G27">
        <v>0.33750000000000002</v>
      </c>
    </row>
    <row r="28" spans="1:7" x14ac:dyDescent="0.35">
      <c r="A28" t="s">
        <v>40</v>
      </c>
      <c r="B28">
        <v>0.33750000000000002</v>
      </c>
      <c r="C28">
        <v>1</v>
      </c>
      <c r="D28">
        <v>0.33750000000000002</v>
      </c>
      <c r="E28">
        <v>0.33750000000000002</v>
      </c>
      <c r="F28">
        <v>0.33750000000000002</v>
      </c>
      <c r="G28">
        <v>0.33750000000000002</v>
      </c>
    </row>
    <row r="29" spans="1:7" x14ac:dyDescent="0.35">
      <c r="A29" t="s">
        <v>41</v>
      </c>
      <c r="B29">
        <v>0.33750000000000002</v>
      </c>
      <c r="C29">
        <v>0.33750000000000002</v>
      </c>
      <c r="D29">
        <v>1</v>
      </c>
      <c r="E29">
        <v>0.33750000000000002</v>
      </c>
      <c r="F29">
        <v>0.33750000000000002</v>
      </c>
      <c r="G29">
        <v>0.33750000000000002</v>
      </c>
    </row>
    <row r="30" spans="1:7" x14ac:dyDescent="0.35">
      <c r="A30" t="s">
        <v>42</v>
      </c>
      <c r="B30">
        <v>0.33750000000000002</v>
      </c>
      <c r="C30">
        <v>0.33750000000000002</v>
      </c>
      <c r="D30">
        <v>0.33750000000000002</v>
      </c>
      <c r="E30">
        <v>1</v>
      </c>
      <c r="F30">
        <v>0.33750000000000002</v>
      </c>
      <c r="G30">
        <v>0.33750000000000002</v>
      </c>
    </row>
    <row r="31" spans="1:7" x14ac:dyDescent="0.35">
      <c r="A31" t="s">
        <v>43</v>
      </c>
      <c r="B31">
        <v>0.33750000000000002</v>
      </c>
      <c r="C31">
        <v>0.33750000000000002</v>
      </c>
      <c r="D31">
        <v>0.33750000000000002</v>
      </c>
      <c r="E31">
        <v>0.33750000000000002</v>
      </c>
      <c r="F31">
        <v>1</v>
      </c>
      <c r="G31">
        <v>0.33750000000000002</v>
      </c>
    </row>
    <row r="32" spans="1:7" x14ac:dyDescent="0.35">
      <c r="A32" t="s">
        <v>44</v>
      </c>
      <c r="B32">
        <v>0.33750000000000002</v>
      </c>
      <c r="C32">
        <v>0.33750000000000002</v>
      </c>
      <c r="D32">
        <v>0.33750000000000002</v>
      </c>
      <c r="E32">
        <v>0.33750000000000002</v>
      </c>
      <c r="F32">
        <v>0.33750000000000002</v>
      </c>
      <c r="G32">
        <v>1</v>
      </c>
    </row>
    <row r="35" spans="1:5" x14ac:dyDescent="0.35">
      <c r="A35" t="s">
        <v>369</v>
      </c>
    </row>
    <row r="36" spans="1:5" x14ac:dyDescent="0.35">
      <c r="B36" t="s">
        <v>45</v>
      </c>
      <c r="C36" t="s">
        <v>46</v>
      </c>
    </row>
    <row r="37" spans="1:5" x14ac:dyDescent="0.35">
      <c r="A37" t="s">
        <v>45</v>
      </c>
      <c r="B37">
        <v>1</v>
      </c>
      <c r="C37">
        <v>0.1125</v>
      </c>
    </row>
    <row r="38" spans="1:5" x14ac:dyDescent="0.35">
      <c r="A38" t="s">
        <v>46</v>
      </c>
      <c r="B38">
        <v>0.1125</v>
      </c>
      <c r="C38">
        <v>1</v>
      </c>
    </row>
    <row r="41" spans="1:5" x14ac:dyDescent="0.35">
      <c r="A41" t="s">
        <v>370</v>
      </c>
    </row>
    <row r="42" spans="1:5" x14ac:dyDescent="0.35">
      <c r="B42" t="s">
        <v>47</v>
      </c>
      <c r="C42" t="s">
        <v>48</v>
      </c>
      <c r="D42" t="s">
        <v>49</v>
      </c>
      <c r="E42" t="s">
        <v>50</v>
      </c>
    </row>
    <row r="43" spans="1:5" x14ac:dyDescent="0.35">
      <c r="A43" t="s">
        <v>47</v>
      </c>
      <c r="B43">
        <v>1</v>
      </c>
      <c r="C43">
        <v>0.3</v>
      </c>
      <c r="D43">
        <v>0.3</v>
      </c>
      <c r="E43">
        <v>0.3</v>
      </c>
    </row>
    <row r="44" spans="1:5" x14ac:dyDescent="0.35">
      <c r="A44" t="s">
        <v>48</v>
      </c>
      <c r="B44">
        <v>0.3</v>
      </c>
      <c r="C44">
        <v>1</v>
      </c>
      <c r="D44">
        <v>0.3</v>
      </c>
      <c r="E44">
        <v>0.3</v>
      </c>
    </row>
    <row r="45" spans="1:5" x14ac:dyDescent="0.35">
      <c r="A45" t="s">
        <v>49</v>
      </c>
      <c r="B45">
        <v>0.3</v>
      </c>
      <c r="C45">
        <v>0.3</v>
      </c>
      <c r="D45">
        <v>1</v>
      </c>
      <c r="E45">
        <v>0.3</v>
      </c>
    </row>
    <row r="46" spans="1:5" x14ac:dyDescent="0.35">
      <c r="A46" t="s">
        <v>50</v>
      </c>
      <c r="B46">
        <v>0.3</v>
      </c>
      <c r="C46">
        <v>0.3</v>
      </c>
      <c r="D46">
        <v>0.3</v>
      </c>
      <c r="E46">
        <v>1</v>
      </c>
    </row>
    <row r="49" spans="1:19" x14ac:dyDescent="0.35">
      <c r="A49" t="s">
        <v>371</v>
      </c>
    </row>
    <row r="50" spans="1:19" x14ac:dyDescent="0.35">
      <c r="B50" t="s">
        <v>52</v>
      </c>
      <c r="C50" t="s">
        <v>55</v>
      </c>
      <c r="D50" t="s">
        <v>57</v>
      </c>
      <c r="E50" t="s">
        <v>59</v>
      </c>
      <c r="F50" t="s">
        <v>61</v>
      </c>
      <c r="G50" t="s">
        <v>62</v>
      </c>
    </row>
    <row r="51" spans="1:19" x14ac:dyDescent="0.35">
      <c r="A51" t="s">
        <v>52</v>
      </c>
      <c r="B51">
        <v>1</v>
      </c>
      <c r="C51">
        <v>0.26250000000000001</v>
      </c>
      <c r="D51">
        <v>0.26250000000000001</v>
      </c>
      <c r="E51">
        <v>0.170625</v>
      </c>
      <c r="F51">
        <v>0.170625</v>
      </c>
      <c r="G51">
        <v>0.170625</v>
      </c>
    </row>
    <row r="52" spans="1:19" x14ac:dyDescent="0.35">
      <c r="A52" t="s">
        <v>55</v>
      </c>
      <c r="B52">
        <v>0.26250000000000001</v>
      </c>
      <c r="C52">
        <v>1</v>
      </c>
      <c r="D52">
        <v>0.26250000000000001</v>
      </c>
      <c r="E52">
        <v>0.48749999999999999</v>
      </c>
      <c r="F52">
        <v>0.170625</v>
      </c>
      <c r="G52">
        <v>0.170625</v>
      </c>
    </row>
    <row r="53" spans="1:19" x14ac:dyDescent="0.35">
      <c r="A53" t="s">
        <v>57</v>
      </c>
      <c r="B53">
        <v>0.26250000000000001</v>
      </c>
      <c r="C53">
        <v>0.26250000000000001</v>
      </c>
      <c r="D53">
        <v>1</v>
      </c>
      <c r="E53">
        <v>0.170625</v>
      </c>
      <c r="F53">
        <v>0.48749999999999999</v>
      </c>
      <c r="G53">
        <v>0.48749999999999999</v>
      </c>
    </row>
    <row r="54" spans="1:19" x14ac:dyDescent="0.35">
      <c r="A54" t="s">
        <v>59</v>
      </c>
      <c r="B54">
        <v>0.170625</v>
      </c>
      <c r="C54">
        <v>0.48749999999999999</v>
      </c>
      <c r="D54">
        <v>0.170625</v>
      </c>
      <c r="E54">
        <v>1</v>
      </c>
      <c r="F54">
        <v>0.26250000000000001</v>
      </c>
      <c r="G54">
        <v>0.170625</v>
      </c>
    </row>
    <row r="55" spans="1:19" x14ac:dyDescent="0.35">
      <c r="A55" t="s">
        <v>61</v>
      </c>
      <c r="B55">
        <v>0.170625</v>
      </c>
      <c r="C55">
        <v>0.170625</v>
      </c>
      <c r="D55">
        <v>0.48749999999999999</v>
      </c>
      <c r="E55">
        <v>0.26250000000000001</v>
      </c>
      <c r="F55">
        <v>1</v>
      </c>
      <c r="G55">
        <v>0.48749999999999999</v>
      </c>
    </row>
    <row r="56" spans="1:19" x14ac:dyDescent="0.35">
      <c r="A56" t="s">
        <v>62</v>
      </c>
      <c r="B56">
        <v>0.170625</v>
      </c>
      <c r="C56">
        <v>0.170625</v>
      </c>
      <c r="D56">
        <v>0.48749999999999999</v>
      </c>
      <c r="E56">
        <v>0.170625</v>
      </c>
      <c r="F56">
        <v>0.48749999999999999</v>
      </c>
      <c r="G56">
        <v>1</v>
      </c>
    </row>
    <row r="59" spans="1:19" x14ac:dyDescent="0.35">
      <c r="A59" t="s">
        <v>372</v>
      </c>
    </row>
    <row r="60" spans="1:19" x14ac:dyDescent="0.35">
      <c r="B60" t="s">
        <v>64</v>
      </c>
      <c r="C60" t="s">
        <v>67</v>
      </c>
      <c r="D60" t="s">
        <v>69</v>
      </c>
      <c r="E60" t="s">
        <v>71</v>
      </c>
      <c r="F60" t="s">
        <v>73</v>
      </c>
      <c r="G60" t="s">
        <v>75</v>
      </c>
      <c r="H60" t="s">
        <v>77</v>
      </c>
      <c r="I60" t="s">
        <v>78</v>
      </c>
      <c r="J60" t="s">
        <v>79</v>
      </c>
      <c r="K60" t="s">
        <v>80</v>
      </c>
      <c r="L60" t="s">
        <v>81</v>
      </c>
      <c r="M60" t="s">
        <v>83</v>
      </c>
      <c r="N60" t="s">
        <v>84</v>
      </c>
      <c r="O60" t="s">
        <v>85</v>
      </c>
      <c r="P60" t="s">
        <v>86</v>
      </c>
      <c r="Q60" t="s">
        <v>87</v>
      </c>
      <c r="R60" t="s">
        <v>89</v>
      </c>
      <c r="S60" t="s">
        <v>90</v>
      </c>
    </row>
    <row r="61" spans="1:19" x14ac:dyDescent="0.35">
      <c r="A61" t="s">
        <v>64</v>
      </c>
      <c r="B61">
        <v>1</v>
      </c>
      <c r="C61">
        <v>0.26250000000000001</v>
      </c>
      <c r="D61">
        <v>0.26250000000000001</v>
      </c>
      <c r="E61">
        <v>0.26250000000000001</v>
      </c>
      <c r="F61">
        <v>0.26250000000000001</v>
      </c>
      <c r="G61">
        <v>0.48749999999999999</v>
      </c>
      <c r="H61">
        <v>0.170625</v>
      </c>
      <c r="I61">
        <v>0.170625</v>
      </c>
      <c r="J61">
        <v>0.170625</v>
      </c>
      <c r="K61">
        <v>0.170625</v>
      </c>
      <c r="L61">
        <v>0.48749999999999999</v>
      </c>
      <c r="M61">
        <v>0.170625</v>
      </c>
      <c r="N61">
        <v>0.170625</v>
      </c>
      <c r="O61">
        <v>0.170625</v>
      </c>
      <c r="P61">
        <v>0.170625</v>
      </c>
      <c r="Q61">
        <v>0.48749999999999999</v>
      </c>
      <c r="R61">
        <v>0.170625</v>
      </c>
      <c r="S61">
        <v>0.170625</v>
      </c>
    </row>
    <row r="62" spans="1:19" x14ac:dyDescent="0.35">
      <c r="A62" t="s">
        <v>67</v>
      </c>
      <c r="B62">
        <v>0.26250000000000001</v>
      </c>
      <c r="C62">
        <v>1</v>
      </c>
      <c r="D62">
        <v>0.26250000000000001</v>
      </c>
      <c r="E62">
        <v>0.26250000000000001</v>
      </c>
      <c r="F62">
        <v>0.26250000000000001</v>
      </c>
      <c r="G62">
        <v>0.170625</v>
      </c>
      <c r="H62">
        <v>0.48749999999999999</v>
      </c>
      <c r="I62">
        <v>0.170625</v>
      </c>
      <c r="J62">
        <v>0.170625</v>
      </c>
      <c r="K62">
        <v>0.170625</v>
      </c>
      <c r="L62">
        <v>0.170625</v>
      </c>
      <c r="M62">
        <v>0.48749999999999999</v>
      </c>
      <c r="N62">
        <v>0.170625</v>
      </c>
      <c r="O62">
        <v>0.170625</v>
      </c>
      <c r="P62">
        <v>0.170625</v>
      </c>
      <c r="Q62">
        <v>0.170625</v>
      </c>
      <c r="R62">
        <v>0.170625</v>
      </c>
      <c r="S62">
        <v>0.170625</v>
      </c>
    </row>
    <row r="63" spans="1:19" x14ac:dyDescent="0.35">
      <c r="A63" t="s">
        <v>69</v>
      </c>
      <c r="B63">
        <v>0.26250000000000001</v>
      </c>
      <c r="C63">
        <v>0.26250000000000001</v>
      </c>
      <c r="D63">
        <v>1</v>
      </c>
      <c r="E63">
        <v>0.26250000000000001</v>
      </c>
      <c r="F63">
        <v>0.26250000000000001</v>
      </c>
      <c r="G63">
        <v>0.170625</v>
      </c>
      <c r="H63">
        <v>0.170625</v>
      </c>
      <c r="I63">
        <v>0.48749999999999999</v>
      </c>
      <c r="J63">
        <v>0.170625</v>
      </c>
      <c r="K63">
        <v>0.170625</v>
      </c>
      <c r="L63">
        <v>0.170625</v>
      </c>
      <c r="M63">
        <v>0.170625</v>
      </c>
      <c r="N63">
        <v>0.48749999999999999</v>
      </c>
      <c r="O63">
        <v>0.170625</v>
      </c>
      <c r="P63">
        <v>0.170625</v>
      </c>
      <c r="Q63">
        <v>0.170625</v>
      </c>
      <c r="R63">
        <v>0.48749999999999999</v>
      </c>
      <c r="S63">
        <v>0.170625</v>
      </c>
    </row>
    <row r="64" spans="1:19" x14ac:dyDescent="0.35">
      <c r="A64" t="s">
        <v>71</v>
      </c>
      <c r="B64">
        <v>0.26250000000000001</v>
      </c>
      <c r="C64">
        <v>0.26250000000000001</v>
      </c>
      <c r="D64">
        <v>0.26250000000000001</v>
      </c>
      <c r="E64">
        <v>1</v>
      </c>
      <c r="F64">
        <v>0.26250000000000001</v>
      </c>
      <c r="G64">
        <v>0.170625</v>
      </c>
      <c r="H64">
        <v>0.170625</v>
      </c>
      <c r="I64">
        <v>0.170625</v>
      </c>
      <c r="J64">
        <v>0.48749999999999999</v>
      </c>
      <c r="K64">
        <v>0.170625</v>
      </c>
      <c r="L64">
        <v>0.170625</v>
      </c>
      <c r="M64">
        <v>0.170625</v>
      </c>
      <c r="N64">
        <v>0.170625</v>
      </c>
      <c r="O64">
        <v>0.48749999999999999</v>
      </c>
      <c r="P64">
        <v>0.170625</v>
      </c>
      <c r="Q64">
        <v>0.170625</v>
      </c>
      <c r="R64">
        <v>0.170625</v>
      </c>
      <c r="S64">
        <v>0.170625</v>
      </c>
    </row>
    <row r="65" spans="1:19" x14ac:dyDescent="0.35">
      <c r="A65" t="s">
        <v>73</v>
      </c>
      <c r="B65">
        <v>0.26250000000000001</v>
      </c>
      <c r="C65">
        <v>0.26250000000000001</v>
      </c>
      <c r="D65">
        <v>0.26250000000000001</v>
      </c>
      <c r="E65">
        <v>0.26250000000000001</v>
      </c>
      <c r="F65">
        <v>1</v>
      </c>
      <c r="G65">
        <v>0.170625</v>
      </c>
      <c r="H65">
        <v>0.170625</v>
      </c>
      <c r="I65">
        <v>0.170625</v>
      </c>
      <c r="J65">
        <v>0.170625</v>
      </c>
      <c r="K65">
        <v>0.48749999999999999</v>
      </c>
      <c r="L65">
        <v>0.170625</v>
      </c>
      <c r="M65">
        <v>0.170625</v>
      </c>
      <c r="N65">
        <v>0.170625</v>
      </c>
      <c r="O65">
        <v>0.170625</v>
      </c>
      <c r="P65">
        <v>0.48749999999999999</v>
      </c>
      <c r="Q65">
        <v>0.170625</v>
      </c>
      <c r="R65">
        <v>0.170625</v>
      </c>
      <c r="S65">
        <v>0.48749999999999999</v>
      </c>
    </row>
    <row r="66" spans="1:19" x14ac:dyDescent="0.35">
      <c r="A66" t="s">
        <v>75</v>
      </c>
      <c r="B66">
        <v>0.48749999999999999</v>
      </c>
      <c r="C66">
        <v>0.170625</v>
      </c>
      <c r="D66">
        <v>0.170625</v>
      </c>
      <c r="E66">
        <v>0.170625</v>
      </c>
      <c r="F66">
        <v>0.170625</v>
      </c>
      <c r="G66">
        <v>1</v>
      </c>
      <c r="H66">
        <v>0.26250000000000001</v>
      </c>
      <c r="I66">
        <v>0.26250000000000001</v>
      </c>
      <c r="J66">
        <v>0.26250000000000001</v>
      </c>
      <c r="K66">
        <v>0.26250000000000001</v>
      </c>
      <c r="L66">
        <v>0.48749999999999999</v>
      </c>
      <c r="M66">
        <v>0.170625</v>
      </c>
      <c r="N66">
        <v>0.170625</v>
      </c>
      <c r="O66">
        <v>0.170625</v>
      </c>
      <c r="P66">
        <v>0.170625</v>
      </c>
      <c r="Q66">
        <v>0.48749999999999999</v>
      </c>
      <c r="R66">
        <v>0.170625</v>
      </c>
      <c r="S66">
        <v>0.170625</v>
      </c>
    </row>
    <row r="67" spans="1:19" x14ac:dyDescent="0.35">
      <c r="A67" t="s">
        <v>77</v>
      </c>
      <c r="B67">
        <v>0.170625</v>
      </c>
      <c r="C67">
        <v>0.48749999999999999</v>
      </c>
      <c r="D67">
        <v>0.170625</v>
      </c>
      <c r="E67">
        <v>0.170625</v>
      </c>
      <c r="F67">
        <v>0.170625</v>
      </c>
      <c r="G67">
        <v>0.26250000000000001</v>
      </c>
      <c r="H67">
        <v>1</v>
      </c>
      <c r="I67">
        <v>0.26250000000000001</v>
      </c>
      <c r="J67">
        <v>0.26250000000000001</v>
      </c>
      <c r="K67">
        <v>0.26250000000000001</v>
      </c>
      <c r="L67">
        <v>0.170625</v>
      </c>
      <c r="M67">
        <v>0.48749999999999999</v>
      </c>
      <c r="N67">
        <v>0.170625</v>
      </c>
      <c r="O67">
        <v>0.170625</v>
      </c>
      <c r="P67">
        <v>0.170625</v>
      </c>
      <c r="Q67">
        <v>0.170625</v>
      </c>
      <c r="R67">
        <v>0.170625</v>
      </c>
      <c r="S67">
        <v>0.170625</v>
      </c>
    </row>
    <row r="68" spans="1:19" x14ac:dyDescent="0.35">
      <c r="A68" t="s">
        <v>78</v>
      </c>
      <c r="B68">
        <v>0.170625</v>
      </c>
      <c r="C68">
        <v>0.170625</v>
      </c>
      <c r="D68">
        <v>0.48749999999999999</v>
      </c>
      <c r="E68">
        <v>0.170625</v>
      </c>
      <c r="F68">
        <v>0.170625</v>
      </c>
      <c r="G68">
        <v>0.26250000000000001</v>
      </c>
      <c r="H68">
        <v>0.26250000000000001</v>
      </c>
      <c r="I68">
        <v>1</v>
      </c>
      <c r="J68">
        <v>0.26250000000000001</v>
      </c>
      <c r="K68">
        <v>0.26250000000000001</v>
      </c>
      <c r="L68">
        <v>0.170625</v>
      </c>
      <c r="M68">
        <v>0.170625</v>
      </c>
      <c r="N68">
        <v>0.48749999999999999</v>
      </c>
      <c r="O68">
        <v>0.170625</v>
      </c>
      <c r="P68">
        <v>0.170625</v>
      </c>
      <c r="Q68">
        <v>0.170625</v>
      </c>
      <c r="R68">
        <v>0.48749999999999999</v>
      </c>
      <c r="S68">
        <v>0.170625</v>
      </c>
    </row>
    <row r="69" spans="1:19" x14ac:dyDescent="0.35">
      <c r="A69" t="s">
        <v>79</v>
      </c>
      <c r="B69">
        <v>0.170625</v>
      </c>
      <c r="C69">
        <v>0.170625</v>
      </c>
      <c r="D69">
        <v>0.170625</v>
      </c>
      <c r="E69">
        <v>0.48749999999999999</v>
      </c>
      <c r="F69">
        <v>0.170625</v>
      </c>
      <c r="G69">
        <v>0.26250000000000001</v>
      </c>
      <c r="H69">
        <v>0.26250000000000001</v>
      </c>
      <c r="I69">
        <v>0.26250000000000001</v>
      </c>
      <c r="J69">
        <v>1</v>
      </c>
      <c r="K69">
        <v>0.26250000000000001</v>
      </c>
      <c r="L69">
        <v>0.170625</v>
      </c>
      <c r="M69">
        <v>0.170625</v>
      </c>
      <c r="N69">
        <v>0.170625</v>
      </c>
      <c r="O69">
        <v>0.48749999999999999</v>
      </c>
      <c r="P69">
        <v>0.170625</v>
      </c>
      <c r="Q69">
        <v>0.170625</v>
      </c>
      <c r="R69">
        <v>0.170625</v>
      </c>
      <c r="S69">
        <v>0.170625</v>
      </c>
    </row>
    <row r="70" spans="1:19" x14ac:dyDescent="0.35">
      <c r="A70" t="s">
        <v>80</v>
      </c>
      <c r="B70">
        <v>0.170625</v>
      </c>
      <c r="C70">
        <v>0.170625</v>
      </c>
      <c r="D70">
        <v>0.170625</v>
      </c>
      <c r="E70">
        <v>0.170625</v>
      </c>
      <c r="F70">
        <v>0.48749999999999999</v>
      </c>
      <c r="G70">
        <v>0.26250000000000001</v>
      </c>
      <c r="H70">
        <v>0.26250000000000001</v>
      </c>
      <c r="I70">
        <v>0.26250000000000001</v>
      </c>
      <c r="J70">
        <v>0.26250000000000001</v>
      </c>
      <c r="K70">
        <v>1</v>
      </c>
      <c r="L70">
        <v>0.170625</v>
      </c>
      <c r="M70">
        <v>0.170625</v>
      </c>
      <c r="N70">
        <v>0.170625</v>
      </c>
      <c r="O70">
        <v>0.170625</v>
      </c>
      <c r="P70">
        <v>0.48749999999999999</v>
      </c>
      <c r="Q70">
        <v>0.170625</v>
      </c>
      <c r="R70">
        <v>0.170625</v>
      </c>
      <c r="S70">
        <v>0.48749999999999999</v>
      </c>
    </row>
    <row r="71" spans="1:19" x14ac:dyDescent="0.35">
      <c r="A71" t="s">
        <v>81</v>
      </c>
      <c r="B71">
        <v>0.48749999999999999</v>
      </c>
      <c r="C71">
        <v>0.170625</v>
      </c>
      <c r="D71">
        <v>0.170625</v>
      </c>
      <c r="E71">
        <v>0.170625</v>
      </c>
      <c r="F71">
        <v>0.170625</v>
      </c>
      <c r="G71">
        <v>0.48749999999999999</v>
      </c>
      <c r="H71">
        <v>0.170625</v>
      </c>
      <c r="I71">
        <v>0.170625</v>
      </c>
      <c r="J71">
        <v>0.170625</v>
      </c>
      <c r="K71">
        <v>0.170625</v>
      </c>
      <c r="L71">
        <v>1</v>
      </c>
      <c r="M71">
        <v>0.26250000000000001</v>
      </c>
      <c r="N71">
        <v>0.26250000000000001</v>
      </c>
      <c r="O71">
        <v>0.26250000000000001</v>
      </c>
      <c r="P71">
        <v>0.26250000000000001</v>
      </c>
      <c r="Q71">
        <v>0.48749999999999999</v>
      </c>
      <c r="R71">
        <v>0.170625</v>
      </c>
      <c r="S71">
        <v>0.170625</v>
      </c>
    </row>
    <row r="72" spans="1:19" x14ac:dyDescent="0.35">
      <c r="A72" t="s">
        <v>83</v>
      </c>
      <c r="B72">
        <v>0.170625</v>
      </c>
      <c r="C72">
        <v>0.48749999999999999</v>
      </c>
      <c r="D72">
        <v>0.170625</v>
      </c>
      <c r="E72">
        <v>0.170625</v>
      </c>
      <c r="F72">
        <v>0.170625</v>
      </c>
      <c r="G72">
        <v>0.170625</v>
      </c>
      <c r="H72">
        <v>0.48749999999999999</v>
      </c>
      <c r="I72">
        <v>0.170625</v>
      </c>
      <c r="J72">
        <v>0.170625</v>
      </c>
      <c r="K72">
        <v>0.170625</v>
      </c>
      <c r="L72">
        <v>0.26250000000000001</v>
      </c>
      <c r="M72">
        <v>1</v>
      </c>
      <c r="N72">
        <v>0.26250000000000001</v>
      </c>
      <c r="O72">
        <v>0.26250000000000001</v>
      </c>
      <c r="P72">
        <v>0.26250000000000001</v>
      </c>
      <c r="Q72">
        <v>0.170625</v>
      </c>
      <c r="R72">
        <v>0.170625</v>
      </c>
      <c r="S72">
        <v>0.170625</v>
      </c>
    </row>
    <row r="73" spans="1:19" x14ac:dyDescent="0.35">
      <c r="A73" t="s">
        <v>84</v>
      </c>
      <c r="B73">
        <v>0.170625</v>
      </c>
      <c r="C73">
        <v>0.170625</v>
      </c>
      <c r="D73">
        <v>0.48749999999999999</v>
      </c>
      <c r="E73">
        <v>0.170625</v>
      </c>
      <c r="F73">
        <v>0.170625</v>
      </c>
      <c r="G73">
        <v>0.170625</v>
      </c>
      <c r="H73">
        <v>0.170625</v>
      </c>
      <c r="I73">
        <v>0.48749999999999999</v>
      </c>
      <c r="J73">
        <v>0.170625</v>
      </c>
      <c r="K73">
        <v>0.170625</v>
      </c>
      <c r="L73">
        <v>0.26250000000000001</v>
      </c>
      <c r="M73">
        <v>0.26250000000000001</v>
      </c>
      <c r="N73">
        <v>1</v>
      </c>
      <c r="O73">
        <v>0.26250000000000001</v>
      </c>
      <c r="P73">
        <v>0.26250000000000001</v>
      </c>
      <c r="Q73">
        <v>0.170625</v>
      </c>
      <c r="R73">
        <v>0.48749999999999999</v>
      </c>
      <c r="S73">
        <v>0.170625</v>
      </c>
    </row>
    <row r="74" spans="1:19" x14ac:dyDescent="0.35">
      <c r="A74" t="s">
        <v>85</v>
      </c>
      <c r="B74">
        <v>0.170625</v>
      </c>
      <c r="C74">
        <v>0.170625</v>
      </c>
      <c r="D74">
        <v>0.170625</v>
      </c>
      <c r="E74">
        <v>0.48749999999999999</v>
      </c>
      <c r="F74">
        <v>0.170625</v>
      </c>
      <c r="G74">
        <v>0.170625</v>
      </c>
      <c r="H74">
        <v>0.170625</v>
      </c>
      <c r="I74">
        <v>0.170625</v>
      </c>
      <c r="J74">
        <v>0.48749999999999999</v>
      </c>
      <c r="K74">
        <v>0.170625</v>
      </c>
      <c r="L74">
        <v>0.26250000000000001</v>
      </c>
      <c r="M74">
        <v>0.26250000000000001</v>
      </c>
      <c r="N74">
        <v>0.26250000000000001</v>
      </c>
      <c r="O74">
        <v>1</v>
      </c>
      <c r="P74">
        <v>0.26250000000000001</v>
      </c>
      <c r="Q74">
        <v>0.170625</v>
      </c>
      <c r="R74">
        <v>0.170625</v>
      </c>
      <c r="S74">
        <v>0.170625</v>
      </c>
    </row>
    <row r="75" spans="1:19" x14ac:dyDescent="0.35">
      <c r="A75" t="s">
        <v>86</v>
      </c>
      <c r="B75">
        <v>0.170625</v>
      </c>
      <c r="C75">
        <v>0.170625</v>
      </c>
      <c r="D75">
        <v>0.170625</v>
      </c>
      <c r="E75">
        <v>0.170625</v>
      </c>
      <c r="F75">
        <v>0.48749999999999999</v>
      </c>
      <c r="G75">
        <v>0.170625</v>
      </c>
      <c r="H75">
        <v>0.170625</v>
      </c>
      <c r="I75">
        <v>0.170625</v>
      </c>
      <c r="J75">
        <v>0.170625</v>
      </c>
      <c r="K75">
        <v>0.48749999999999999</v>
      </c>
      <c r="L75">
        <v>0.26250000000000001</v>
      </c>
      <c r="M75">
        <v>0.26250000000000001</v>
      </c>
      <c r="N75">
        <v>0.26250000000000001</v>
      </c>
      <c r="O75">
        <v>0.26250000000000001</v>
      </c>
      <c r="P75">
        <v>1</v>
      </c>
      <c r="Q75">
        <v>0.170625</v>
      </c>
      <c r="R75">
        <v>0.170625</v>
      </c>
      <c r="S75">
        <v>0.48749999999999999</v>
      </c>
    </row>
    <row r="76" spans="1:19" x14ac:dyDescent="0.35">
      <c r="A76" t="s">
        <v>87</v>
      </c>
      <c r="B76">
        <v>0.48749999999999999</v>
      </c>
      <c r="C76">
        <v>0.170625</v>
      </c>
      <c r="D76">
        <v>0.170625</v>
      </c>
      <c r="E76">
        <v>0.170625</v>
      </c>
      <c r="F76">
        <v>0.170625</v>
      </c>
      <c r="G76">
        <v>0.48749999999999999</v>
      </c>
      <c r="H76">
        <v>0.170625</v>
      </c>
      <c r="I76">
        <v>0.170625</v>
      </c>
      <c r="J76">
        <v>0.170625</v>
      </c>
      <c r="K76">
        <v>0.170625</v>
      </c>
      <c r="L76">
        <v>0.48749999999999999</v>
      </c>
      <c r="M76">
        <v>0.170625</v>
      </c>
      <c r="N76">
        <v>0.170625</v>
      </c>
      <c r="O76">
        <v>0.170625</v>
      </c>
      <c r="P76">
        <v>0.170625</v>
      </c>
      <c r="Q76">
        <v>1</v>
      </c>
      <c r="R76">
        <v>0.26250000000000001</v>
      </c>
      <c r="S76">
        <v>0.26250000000000001</v>
      </c>
    </row>
    <row r="77" spans="1:19" x14ac:dyDescent="0.35">
      <c r="A77" t="s">
        <v>89</v>
      </c>
      <c r="B77">
        <v>0.170625</v>
      </c>
      <c r="C77">
        <v>0.170625</v>
      </c>
      <c r="D77">
        <v>0.48749999999999999</v>
      </c>
      <c r="E77">
        <v>0.170625</v>
      </c>
      <c r="F77">
        <v>0.170625</v>
      </c>
      <c r="G77">
        <v>0.170625</v>
      </c>
      <c r="H77">
        <v>0.170625</v>
      </c>
      <c r="I77">
        <v>0.48749999999999999</v>
      </c>
      <c r="J77">
        <v>0.170625</v>
      </c>
      <c r="K77">
        <v>0.170625</v>
      </c>
      <c r="L77">
        <v>0.170625</v>
      </c>
      <c r="M77">
        <v>0.170625</v>
      </c>
      <c r="N77">
        <v>0.48749999999999999</v>
      </c>
      <c r="O77">
        <v>0.170625</v>
      </c>
      <c r="P77">
        <v>0.170625</v>
      </c>
      <c r="Q77">
        <v>0.26250000000000001</v>
      </c>
      <c r="R77">
        <v>1</v>
      </c>
      <c r="S77">
        <v>0.26250000000000001</v>
      </c>
    </row>
    <row r="78" spans="1:19" x14ac:dyDescent="0.35">
      <c r="A78" t="s">
        <v>90</v>
      </c>
      <c r="B78">
        <v>0.170625</v>
      </c>
      <c r="C78">
        <v>0.170625</v>
      </c>
      <c r="D78">
        <v>0.170625</v>
      </c>
      <c r="E78">
        <v>0.170625</v>
      </c>
      <c r="F78">
        <v>0.48749999999999999</v>
      </c>
      <c r="G78">
        <v>0.170625</v>
      </c>
      <c r="H78">
        <v>0.170625</v>
      </c>
      <c r="I78">
        <v>0.170625</v>
      </c>
      <c r="J78">
        <v>0.170625</v>
      </c>
      <c r="K78">
        <v>0.48749999999999999</v>
      </c>
      <c r="L78">
        <v>0.170625</v>
      </c>
      <c r="M78">
        <v>0.170625</v>
      </c>
      <c r="N78">
        <v>0.170625</v>
      </c>
      <c r="O78">
        <v>0.170625</v>
      </c>
      <c r="P78">
        <v>0.48749999999999999</v>
      </c>
      <c r="Q78">
        <v>0.26250000000000001</v>
      </c>
      <c r="R78">
        <v>0.26250000000000001</v>
      </c>
      <c r="S78">
        <v>1</v>
      </c>
    </row>
    <row r="81" spans="1:13" x14ac:dyDescent="0.35">
      <c r="A81" t="s">
        <v>373</v>
      </c>
    </row>
    <row r="82" spans="1:13" x14ac:dyDescent="0.35">
      <c r="B82" t="s">
        <v>91</v>
      </c>
      <c r="C82" t="s">
        <v>94</v>
      </c>
      <c r="D82" t="s">
        <v>96</v>
      </c>
      <c r="E82" t="s">
        <v>98</v>
      </c>
      <c r="F82" t="s">
        <v>100</v>
      </c>
      <c r="G82" t="s">
        <v>101</v>
      </c>
      <c r="H82" t="s">
        <v>102</v>
      </c>
      <c r="I82" t="s">
        <v>104</v>
      </c>
      <c r="J82" t="s">
        <v>105</v>
      </c>
      <c r="K82" t="s">
        <v>106</v>
      </c>
      <c r="L82" t="s">
        <v>108</v>
      </c>
      <c r="M82" t="s">
        <v>109</v>
      </c>
    </row>
    <row r="83" spans="1:13" x14ac:dyDescent="0.35">
      <c r="A83" t="s">
        <v>91</v>
      </c>
      <c r="B83">
        <v>1</v>
      </c>
      <c r="C83">
        <v>0.26250000000000001</v>
      </c>
      <c r="D83">
        <v>0.26250000000000001</v>
      </c>
      <c r="E83">
        <v>0.48749999999999999</v>
      </c>
      <c r="F83">
        <v>0.170625</v>
      </c>
      <c r="G83">
        <v>0.170625</v>
      </c>
      <c r="H83">
        <v>0.48749999999999999</v>
      </c>
      <c r="I83">
        <v>0.170625</v>
      </c>
      <c r="J83">
        <v>0.170625</v>
      </c>
      <c r="K83">
        <v>0.170625</v>
      </c>
      <c r="L83">
        <v>0.170625</v>
      </c>
      <c r="M83">
        <v>0.170625</v>
      </c>
    </row>
    <row r="84" spans="1:13" x14ac:dyDescent="0.35">
      <c r="A84" t="s">
        <v>94</v>
      </c>
      <c r="B84">
        <v>0.26250000000000001</v>
      </c>
      <c r="C84">
        <v>1</v>
      </c>
      <c r="D84">
        <v>0.26250000000000001</v>
      </c>
      <c r="E84">
        <v>0.170625</v>
      </c>
      <c r="F84">
        <v>0.48749999999999999</v>
      </c>
      <c r="G84">
        <v>0.170625</v>
      </c>
      <c r="H84">
        <v>0.170625</v>
      </c>
      <c r="I84">
        <v>0.48749999999999999</v>
      </c>
      <c r="J84">
        <v>0.170625</v>
      </c>
      <c r="K84">
        <v>0.48749999999999999</v>
      </c>
      <c r="L84">
        <v>0.170625</v>
      </c>
      <c r="M84">
        <v>0.48749999999999999</v>
      </c>
    </row>
    <row r="85" spans="1:13" x14ac:dyDescent="0.35">
      <c r="A85" t="s">
        <v>96</v>
      </c>
      <c r="B85">
        <v>0.26250000000000001</v>
      </c>
      <c r="C85">
        <v>0.26250000000000001</v>
      </c>
      <c r="D85">
        <v>1</v>
      </c>
      <c r="E85">
        <v>0.170625</v>
      </c>
      <c r="F85">
        <v>0.170625</v>
      </c>
      <c r="G85">
        <v>0.48749999999999999</v>
      </c>
      <c r="H85">
        <v>0.170625</v>
      </c>
      <c r="I85">
        <v>0.170625</v>
      </c>
      <c r="J85">
        <v>0.48749999999999999</v>
      </c>
      <c r="K85">
        <v>0.170625</v>
      </c>
      <c r="L85">
        <v>0.48749999999999999</v>
      </c>
      <c r="M85">
        <v>0.170625</v>
      </c>
    </row>
    <row r="86" spans="1:13" x14ac:dyDescent="0.35">
      <c r="A86" t="s">
        <v>98</v>
      </c>
      <c r="B86">
        <v>0.48749999999999999</v>
      </c>
      <c r="C86">
        <v>0.170625</v>
      </c>
      <c r="D86">
        <v>0.170625</v>
      </c>
      <c r="E86">
        <v>1</v>
      </c>
      <c r="F86">
        <v>0.26250000000000001</v>
      </c>
      <c r="G86">
        <v>0.26250000000000001</v>
      </c>
      <c r="H86">
        <v>0.48749999999999999</v>
      </c>
      <c r="I86">
        <v>0.170625</v>
      </c>
      <c r="J86">
        <v>0.170625</v>
      </c>
      <c r="K86">
        <v>0.170625</v>
      </c>
      <c r="L86">
        <v>0.170625</v>
      </c>
      <c r="M86">
        <v>0.170625</v>
      </c>
    </row>
    <row r="87" spans="1:13" x14ac:dyDescent="0.35">
      <c r="A87" t="s">
        <v>100</v>
      </c>
      <c r="B87">
        <v>0.170625</v>
      </c>
      <c r="C87">
        <v>0.48749999999999999</v>
      </c>
      <c r="D87">
        <v>0.170625</v>
      </c>
      <c r="E87">
        <v>0.26250000000000001</v>
      </c>
      <c r="F87">
        <v>1</v>
      </c>
      <c r="G87">
        <v>0.26250000000000001</v>
      </c>
      <c r="H87">
        <v>0.170625</v>
      </c>
      <c r="I87">
        <v>0.48749999999999999</v>
      </c>
      <c r="J87">
        <v>0.170625</v>
      </c>
      <c r="K87">
        <v>0.48749999999999999</v>
      </c>
      <c r="L87">
        <v>0.170625</v>
      </c>
      <c r="M87">
        <v>0.48749999999999999</v>
      </c>
    </row>
    <row r="88" spans="1:13" x14ac:dyDescent="0.35">
      <c r="A88" t="s">
        <v>101</v>
      </c>
      <c r="B88">
        <v>0.170625</v>
      </c>
      <c r="C88">
        <v>0.170625</v>
      </c>
      <c r="D88">
        <v>0.48749999999999999</v>
      </c>
      <c r="E88">
        <v>0.26250000000000001</v>
      </c>
      <c r="F88">
        <v>0.26250000000000001</v>
      </c>
      <c r="G88">
        <v>1</v>
      </c>
      <c r="H88">
        <v>0.170625</v>
      </c>
      <c r="I88">
        <v>0.170625</v>
      </c>
      <c r="J88">
        <v>0.48749999999999999</v>
      </c>
      <c r="K88">
        <v>0.170625</v>
      </c>
      <c r="L88">
        <v>0.48749999999999999</v>
      </c>
      <c r="M88">
        <v>0.170625</v>
      </c>
    </row>
    <row r="89" spans="1:13" x14ac:dyDescent="0.35">
      <c r="A89" t="s">
        <v>102</v>
      </c>
      <c r="B89">
        <v>0.48749999999999999</v>
      </c>
      <c r="C89">
        <v>0.170625</v>
      </c>
      <c r="D89">
        <v>0.170625</v>
      </c>
      <c r="E89">
        <v>0.48749999999999999</v>
      </c>
      <c r="F89">
        <v>0.170625</v>
      </c>
      <c r="G89">
        <v>0.170625</v>
      </c>
      <c r="H89">
        <v>1</v>
      </c>
      <c r="I89">
        <v>0.26250000000000001</v>
      </c>
      <c r="J89">
        <v>0.26250000000000001</v>
      </c>
      <c r="K89">
        <v>0.170625</v>
      </c>
      <c r="L89">
        <v>0.170625</v>
      </c>
      <c r="M89">
        <v>0.170625</v>
      </c>
    </row>
    <row r="90" spans="1:13" x14ac:dyDescent="0.35">
      <c r="A90" t="s">
        <v>104</v>
      </c>
      <c r="B90">
        <v>0.170625</v>
      </c>
      <c r="C90">
        <v>0.48749999999999999</v>
      </c>
      <c r="D90">
        <v>0.170625</v>
      </c>
      <c r="E90">
        <v>0.170625</v>
      </c>
      <c r="F90">
        <v>0.48749999999999999</v>
      </c>
      <c r="G90">
        <v>0.170625</v>
      </c>
      <c r="H90">
        <v>0.26250000000000001</v>
      </c>
      <c r="I90">
        <v>1</v>
      </c>
      <c r="J90">
        <v>0.26250000000000001</v>
      </c>
      <c r="K90">
        <v>0.48749999999999999</v>
      </c>
      <c r="L90">
        <v>0.170625</v>
      </c>
      <c r="M90">
        <v>0.48749999999999999</v>
      </c>
    </row>
    <row r="91" spans="1:13" x14ac:dyDescent="0.35">
      <c r="A91" t="s">
        <v>105</v>
      </c>
      <c r="B91">
        <v>0.170625</v>
      </c>
      <c r="C91">
        <v>0.170625</v>
      </c>
      <c r="D91">
        <v>0.48749999999999999</v>
      </c>
      <c r="E91">
        <v>0.170625</v>
      </c>
      <c r="F91">
        <v>0.170625</v>
      </c>
      <c r="G91">
        <v>0.48749999999999999</v>
      </c>
      <c r="H91">
        <v>0.26250000000000001</v>
      </c>
      <c r="I91">
        <v>0.26250000000000001</v>
      </c>
      <c r="J91">
        <v>1</v>
      </c>
      <c r="K91">
        <v>0.170625</v>
      </c>
      <c r="L91">
        <v>0.48749999999999999</v>
      </c>
      <c r="M91">
        <v>0.170625</v>
      </c>
    </row>
    <row r="92" spans="1:13" x14ac:dyDescent="0.35">
      <c r="A92" t="s">
        <v>106</v>
      </c>
      <c r="B92">
        <v>0.170625</v>
      </c>
      <c r="C92">
        <v>0.48749999999999999</v>
      </c>
      <c r="D92">
        <v>0.170625</v>
      </c>
      <c r="E92">
        <v>0.170625</v>
      </c>
      <c r="F92">
        <v>0.48749999999999999</v>
      </c>
      <c r="G92">
        <v>0.170625</v>
      </c>
      <c r="H92">
        <v>0.170625</v>
      </c>
      <c r="I92">
        <v>0.48749999999999999</v>
      </c>
      <c r="J92">
        <v>0.170625</v>
      </c>
      <c r="K92">
        <v>1</v>
      </c>
      <c r="L92">
        <v>0.26250000000000001</v>
      </c>
      <c r="M92">
        <v>0.48749999999999999</v>
      </c>
    </row>
    <row r="93" spans="1:13" x14ac:dyDescent="0.35">
      <c r="A93" t="s">
        <v>108</v>
      </c>
      <c r="B93">
        <v>0.170625</v>
      </c>
      <c r="C93">
        <v>0.170625</v>
      </c>
      <c r="D93">
        <v>0.48749999999999999</v>
      </c>
      <c r="E93">
        <v>0.170625</v>
      </c>
      <c r="F93">
        <v>0.170625</v>
      </c>
      <c r="G93">
        <v>0.48749999999999999</v>
      </c>
      <c r="H93">
        <v>0.170625</v>
      </c>
      <c r="I93">
        <v>0.170625</v>
      </c>
      <c r="J93">
        <v>0.48749999999999999</v>
      </c>
      <c r="K93">
        <v>0.26250000000000001</v>
      </c>
      <c r="L93">
        <v>1</v>
      </c>
      <c r="M93">
        <v>0.170625</v>
      </c>
    </row>
    <row r="94" spans="1:13" x14ac:dyDescent="0.35">
      <c r="A94" t="s">
        <v>109</v>
      </c>
      <c r="B94">
        <v>0.170625</v>
      </c>
      <c r="C94">
        <v>0.48749999999999999</v>
      </c>
      <c r="D94">
        <v>0.170625</v>
      </c>
      <c r="E94">
        <v>0.170625</v>
      </c>
      <c r="F94">
        <v>0.48749999999999999</v>
      </c>
      <c r="G94">
        <v>0.170625</v>
      </c>
      <c r="H94">
        <v>0.170625</v>
      </c>
      <c r="I94">
        <v>0.48749999999999999</v>
      </c>
      <c r="J94">
        <v>0.170625</v>
      </c>
      <c r="K94">
        <v>0.48749999999999999</v>
      </c>
      <c r="L94">
        <v>0.170625</v>
      </c>
      <c r="M94">
        <v>1</v>
      </c>
    </row>
    <row r="97" spans="1:22" x14ac:dyDescent="0.35">
      <c r="A97" t="s">
        <v>374</v>
      </c>
    </row>
    <row r="98" spans="1:22" x14ac:dyDescent="0.35">
      <c r="B98" t="s">
        <v>111</v>
      </c>
      <c r="C98" t="s">
        <v>114</v>
      </c>
      <c r="D98" t="s">
        <v>116</v>
      </c>
      <c r="E98" t="s">
        <v>118</v>
      </c>
      <c r="F98" t="s">
        <v>120</v>
      </c>
      <c r="G98" t="s">
        <v>122</v>
      </c>
      <c r="H98" t="s">
        <v>124</v>
      </c>
      <c r="I98" t="s">
        <v>126</v>
      </c>
      <c r="J98" t="s">
        <v>127</v>
      </c>
      <c r="K98" t="s">
        <v>128</v>
      </c>
      <c r="L98" t="s">
        <v>129</v>
      </c>
      <c r="M98" t="s">
        <v>130</v>
      </c>
      <c r="N98" t="s">
        <v>131</v>
      </c>
      <c r="O98" t="s">
        <v>133</v>
      </c>
      <c r="P98" t="s">
        <v>134</v>
      </c>
      <c r="Q98" t="s">
        <v>135</v>
      </c>
      <c r="R98" t="s">
        <v>136</v>
      </c>
      <c r="S98" t="s">
        <v>137</v>
      </c>
      <c r="T98" t="s">
        <v>138</v>
      </c>
      <c r="U98" t="s">
        <v>140</v>
      </c>
      <c r="V98" t="s">
        <v>141</v>
      </c>
    </row>
    <row r="99" spans="1:22" x14ac:dyDescent="0.35">
      <c r="A99" t="s">
        <v>111</v>
      </c>
      <c r="B99">
        <v>1</v>
      </c>
      <c r="C99">
        <v>0.26250000000000001</v>
      </c>
      <c r="D99">
        <v>0.26250000000000001</v>
      </c>
      <c r="E99">
        <v>0.26250000000000001</v>
      </c>
      <c r="F99">
        <v>0.26250000000000001</v>
      </c>
      <c r="G99">
        <v>0.26250000000000001</v>
      </c>
      <c r="H99">
        <v>0.48749999999999999</v>
      </c>
      <c r="I99">
        <v>0.170625</v>
      </c>
      <c r="J99">
        <v>0.170625</v>
      </c>
      <c r="K99">
        <v>0.170625</v>
      </c>
      <c r="L99">
        <v>0.170625</v>
      </c>
      <c r="M99">
        <v>0.170625</v>
      </c>
      <c r="N99">
        <v>0.48749999999999999</v>
      </c>
      <c r="O99">
        <v>0.170625</v>
      </c>
      <c r="P99">
        <v>0.170625</v>
      </c>
      <c r="Q99">
        <v>0.170625</v>
      </c>
      <c r="R99">
        <v>0.170625</v>
      </c>
      <c r="S99">
        <v>0.170625</v>
      </c>
      <c r="T99">
        <v>0.170625</v>
      </c>
      <c r="U99">
        <v>0.170625</v>
      </c>
      <c r="V99">
        <v>0.170625</v>
      </c>
    </row>
    <row r="100" spans="1:22" x14ac:dyDescent="0.35">
      <c r="A100" t="s">
        <v>114</v>
      </c>
      <c r="B100">
        <v>0.26250000000000001</v>
      </c>
      <c r="C100">
        <v>1</v>
      </c>
      <c r="D100">
        <v>0.26250000000000001</v>
      </c>
      <c r="E100">
        <v>0.26250000000000001</v>
      </c>
      <c r="F100">
        <v>0.26250000000000001</v>
      </c>
      <c r="G100">
        <v>0.26250000000000001</v>
      </c>
      <c r="H100">
        <v>0.170625</v>
      </c>
      <c r="I100">
        <v>0.48749999999999999</v>
      </c>
      <c r="J100">
        <v>0.170625</v>
      </c>
      <c r="K100">
        <v>0.170625</v>
      </c>
      <c r="L100">
        <v>0.170625</v>
      </c>
      <c r="M100">
        <v>0.170625</v>
      </c>
      <c r="N100">
        <v>0.170625</v>
      </c>
      <c r="O100">
        <v>0.48749999999999999</v>
      </c>
      <c r="P100">
        <v>0.170625</v>
      </c>
      <c r="Q100">
        <v>0.170625</v>
      </c>
      <c r="R100">
        <v>0.170625</v>
      </c>
      <c r="S100">
        <v>0.170625</v>
      </c>
      <c r="T100">
        <v>0.170625</v>
      </c>
      <c r="U100">
        <v>0.170625</v>
      </c>
      <c r="V100">
        <v>0.170625</v>
      </c>
    </row>
    <row r="101" spans="1:22" x14ac:dyDescent="0.35">
      <c r="A101" t="s">
        <v>116</v>
      </c>
      <c r="B101">
        <v>0.26250000000000001</v>
      </c>
      <c r="C101">
        <v>0.26250000000000001</v>
      </c>
      <c r="D101">
        <v>1</v>
      </c>
      <c r="E101">
        <v>0.26250000000000001</v>
      </c>
      <c r="F101">
        <v>0.26250000000000001</v>
      </c>
      <c r="G101">
        <v>0.26250000000000001</v>
      </c>
      <c r="H101">
        <v>0.170625</v>
      </c>
      <c r="I101">
        <v>0.170625</v>
      </c>
      <c r="J101">
        <v>0.48749999999999999</v>
      </c>
      <c r="K101">
        <v>0.170625</v>
      </c>
      <c r="L101">
        <v>0.170625</v>
      </c>
      <c r="M101">
        <v>0.170625</v>
      </c>
      <c r="N101">
        <v>0.170625</v>
      </c>
      <c r="O101">
        <v>0.170625</v>
      </c>
      <c r="P101">
        <v>0.48749999999999999</v>
      </c>
      <c r="Q101">
        <v>0.170625</v>
      </c>
      <c r="R101">
        <v>0.170625</v>
      </c>
      <c r="S101">
        <v>0.170625</v>
      </c>
      <c r="T101">
        <v>0.48749999999999999</v>
      </c>
      <c r="U101">
        <v>0.170625</v>
      </c>
      <c r="V101">
        <v>0.170625</v>
      </c>
    </row>
    <row r="102" spans="1:22" x14ac:dyDescent="0.35">
      <c r="A102" t="s">
        <v>118</v>
      </c>
      <c r="B102">
        <v>0.26250000000000001</v>
      </c>
      <c r="C102">
        <v>0.26250000000000001</v>
      </c>
      <c r="D102">
        <v>0.26250000000000001</v>
      </c>
      <c r="E102">
        <v>1</v>
      </c>
      <c r="F102">
        <v>0.26250000000000001</v>
      </c>
      <c r="G102">
        <v>0.26250000000000001</v>
      </c>
      <c r="H102">
        <v>0.170625</v>
      </c>
      <c r="I102">
        <v>0.170625</v>
      </c>
      <c r="J102">
        <v>0.170625</v>
      </c>
      <c r="K102">
        <v>0.48749999999999999</v>
      </c>
      <c r="L102">
        <v>0.170625</v>
      </c>
      <c r="M102">
        <v>0.170625</v>
      </c>
      <c r="N102">
        <v>0.170625</v>
      </c>
      <c r="O102">
        <v>0.170625</v>
      </c>
      <c r="P102">
        <v>0.170625</v>
      </c>
      <c r="Q102">
        <v>0.48749999999999999</v>
      </c>
      <c r="R102">
        <v>0.170625</v>
      </c>
      <c r="S102">
        <v>0.170625</v>
      </c>
      <c r="T102">
        <v>0.170625</v>
      </c>
      <c r="U102">
        <v>0.170625</v>
      </c>
      <c r="V102">
        <v>0.170625</v>
      </c>
    </row>
    <row r="103" spans="1:22" x14ac:dyDescent="0.35">
      <c r="A103" t="s">
        <v>120</v>
      </c>
      <c r="B103">
        <v>0.26250000000000001</v>
      </c>
      <c r="C103">
        <v>0.26250000000000001</v>
      </c>
      <c r="D103">
        <v>0.26250000000000001</v>
      </c>
      <c r="E103">
        <v>0.26250000000000001</v>
      </c>
      <c r="F103">
        <v>1</v>
      </c>
      <c r="G103">
        <v>0.26250000000000001</v>
      </c>
      <c r="H103">
        <v>0.170625</v>
      </c>
      <c r="I103">
        <v>0.170625</v>
      </c>
      <c r="J103">
        <v>0.170625</v>
      </c>
      <c r="K103">
        <v>0.170625</v>
      </c>
      <c r="L103">
        <v>0.48749999999999999</v>
      </c>
      <c r="M103">
        <v>0.170625</v>
      </c>
      <c r="N103">
        <v>0.170625</v>
      </c>
      <c r="O103">
        <v>0.170625</v>
      </c>
      <c r="P103">
        <v>0.170625</v>
      </c>
      <c r="Q103">
        <v>0.170625</v>
      </c>
      <c r="R103">
        <v>0.48749999999999999</v>
      </c>
      <c r="S103">
        <v>0.170625</v>
      </c>
      <c r="T103">
        <v>0.170625</v>
      </c>
      <c r="U103">
        <v>0.48749999999999999</v>
      </c>
      <c r="V103">
        <v>0.170625</v>
      </c>
    </row>
    <row r="104" spans="1:22" x14ac:dyDescent="0.35">
      <c r="A104" t="s">
        <v>122</v>
      </c>
      <c r="B104">
        <v>0.26250000000000001</v>
      </c>
      <c r="C104">
        <v>0.26250000000000001</v>
      </c>
      <c r="D104">
        <v>0.26250000000000001</v>
      </c>
      <c r="E104">
        <v>0.26250000000000001</v>
      </c>
      <c r="F104">
        <v>0.26250000000000001</v>
      </c>
      <c r="G104">
        <v>1</v>
      </c>
      <c r="H104">
        <v>0.170625</v>
      </c>
      <c r="I104">
        <v>0.170625</v>
      </c>
      <c r="J104">
        <v>0.170625</v>
      </c>
      <c r="K104">
        <v>0.170625</v>
      </c>
      <c r="L104">
        <v>0.170625</v>
      </c>
      <c r="M104">
        <v>0.48749999999999999</v>
      </c>
      <c r="N104">
        <v>0.170625</v>
      </c>
      <c r="O104">
        <v>0.170625</v>
      </c>
      <c r="P104">
        <v>0.170625</v>
      </c>
      <c r="Q104">
        <v>0.170625</v>
      </c>
      <c r="R104">
        <v>0.170625</v>
      </c>
      <c r="S104">
        <v>0.48749999999999999</v>
      </c>
      <c r="T104">
        <v>0.170625</v>
      </c>
      <c r="U104">
        <v>0.170625</v>
      </c>
      <c r="V104">
        <v>0.48749999999999999</v>
      </c>
    </row>
    <row r="105" spans="1:22" x14ac:dyDescent="0.35">
      <c r="A105" t="s">
        <v>124</v>
      </c>
      <c r="B105">
        <v>0.48749999999999999</v>
      </c>
      <c r="C105">
        <v>0.170625</v>
      </c>
      <c r="D105">
        <v>0.170625</v>
      </c>
      <c r="E105">
        <v>0.170625</v>
      </c>
      <c r="F105">
        <v>0.170625</v>
      </c>
      <c r="G105">
        <v>0.170625</v>
      </c>
      <c r="H105">
        <v>1</v>
      </c>
      <c r="I105">
        <v>0.26250000000000001</v>
      </c>
      <c r="J105">
        <v>0.26250000000000001</v>
      </c>
      <c r="K105">
        <v>0.26250000000000001</v>
      </c>
      <c r="L105">
        <v>0.26250000000000001</v>
      </c>
      <c r="M105">
        <v>0.26250000000000001</v>
      </c>
      <c r="N105">
        <v>0.48749999999999999</v>
      </c>
      <c r="O105">
        <v>0.170625</v>
      </c>
      <c r="P105">
        <v>0.170625</v>
      </c>
      <c r="Q105">
        <v>0.170625</v>
      </c>
      <c r="R105">
        <v>0.170625</v>
      </c>
      <c r="S105">
        <v>0.170625</v>
      </c>
      <c r="T105">
        <v>0.170625</v>
      </c>
      <c r="U105">
        <v>0.170625</v>
      </c>
      <c r="V105">
        <v>0.170625</v>
      </c>
    </row>
    <row r="106" spans="1:22" x14ac:dyDescent="0.35">
      <c r="A106" t="s">
        <v>126</v>
      </c>
      <c r="B106">
        <v>0.170625</v>
      </c>
      <c r="C106">
        <v>0.48749999999999999</v>
      </c>
      <c r="D106">
        <v>0.170625</v>
      </c>
      <c r="E106">
        <v>0.170625</v>
      </c>
      <c r="F106">
        <v>0.170625</v>
      </c>
      <c r="G106">
        <v>0.170625</v>
      </c>
      <c r="H106">
        <v>0.26250000000000001</v>
      </c>
      <c r="I106">
        <v>1</v>
      </c>
      <c r="J106">
        <v>0.26250000000000001</v>
      </c>
      <c r="K106">
        <v>0.26250000000000001</v>
      </c>
      <c r="L106">
        <v>0.26250000000000001</v>
      </c>
      <c r="M106">
        <v>0.26250000000000001</v>
      </c>
      <c r="N106">
        <v>0.170625</v>
      </c>
      <c r="O106">
        <v>0.48749999999999999</v>
      </c>
      <c r="P106">
        <v>0.170625</v>
      </c>
      <c r="Q106">
        <v>0.170625</v>
      </c>
      <c r="R106">
        <v>0.170625</v>
      </c>
      <c r="S106">
        <v>0.170625</v>
      </c>
      <c r="T106">
        <v>0.170625</v>
      </c>
      <c r="U106">
        <v>0.170625</v>
      </c>
      <c r="V106">
        <v>0.170625</v>
      </c>
    </row>
    <row r="107" spans="1:22" x14ac:dyDescent="0.35">
      <c r="A107" t="s">
        <v>127</v>
      </c>
      <c r="B107">
        <v>0.170625</v>
      </c>
      <c r="C107">
        <v>0.170625</v>
      </c>
      <c r="D107">
        <v>0.48749999999999999</v>
      </c>
      <c r="E107">
        <v>0.170625</v>
      </c>
      <c r="F107">
        <v>0.170625</v>
      </c>
      <c r="G107">
        <v>0.170625</v>
      </c>
      <c r="H107">
        <v>0.26250000000000001</v>
      </c>
      <c r="I107">
        <v>0.26250000000000001</v>
      </c>
      <c r="J107">
        <v>1</v>
      </c>
      <c r="K107">
        <v>0.26250000000000001</v>
      </c>
      <c r="L107">
        <v>0.26250000000000001</v>
      </c>
      <c r="M107">
        <v>0.26250000000000001</v>
      </c>
      <c r="N107">
        <v>0.170625</v>
      </c>
      <c r="O107">
        <v>0.170625</v>
      </c>
      <c r="P107">
        <v>0.48749999999999999</v>
      </c>
      <c r="Q107">
        <v>0.170625</v>
      </c>
      <c r="R107">
        <v>0.170625</v>
      </c>
      <c r="S107">
        <v>0.170625</v>
      </c>
      <c r="T107">
        <v>0.48749999999999999</v>
      </c>
      <c r="U107">
        <v>0.170625</v>
      </c>
      <c r="V107">
        <v>0.170625</v>
      </c>
    </row>
    <row r="108" spans="1:22" x14ac:dyDescent="0.35">
      <c r="A108" t="s">
        <v>128</v>
      </c>
      <c r="B108">
        <v>0.170625</v>
      </c>
      <c r="C108">
        <v>0.170625</v>
      </c>
      <c r="D108">
        <v>0.170625</v>
      </c>
      <c r="E108">
        <v>0.48749999999999999</v>
      </c>
      <c r="F108">
        <v>0.170625</v>
      </c>
      <c r="G108">
        <v>0.170625</v>
      </c>
      <c r="H108">
        <v>0.26250000000000001</v>
      </c>
      <c r="I108">
        <v>0.26250000000000001</v>
      </c>
      <c r="J108">
        <v>0.26250000000000001</v>
      </c>
      <c r="K108">
        <v>1</v>
      </c>
      <c r="L108">
        <v>0.26250000000000001</v>
      </c>
      <c r="M108">
        <v>0.26250000000000001</v>
      </c>
      <c r="N108">
        <v>0.170625</v>
      </c>
      <c r="O108">
        <v>0.170625</v>
      </c>
      <c r="P108">
        <v>0.170625</v>
      </c>
      <c r="Q108">
        <v>0.48749999999999999</v>
      </c>
      <c r="R108">
        <v>0.170625</v>
      </c>
      <c r="S108">
        <v>0.170625</v>
      </c>
      <c r="T108">
        <v>0.170625</v>
      </c>
      <c r="U108">
        <v>0.170625</v>
      </c>
      <c r="V108">
        <v>0.170625</v>
      </c>
    </row>
    <row r="109" spans="1:22" x14ac:dyDescent="0.35">
      <c r="A109" t="s">
        <v>129</v>
      </c>
      <c r="B109">
        <v>0.170625</v>
      </c>
      <c r="C109">
        <v>0.170625</v>
      </c>
      <c r="D109">
        <v>0.170625</v>
      </c>
      <c r="E109">
        <v>0.170625</v>
      </c>
      <c r="F109">
        <v>0.48749999999999999</v>
      </c>
      <c r="G109">
        <v>0.170625</v>
      </c>
      <c r="H109">
        <v>0.26250000000000001</v>
      </c>
      <c r="I109">
        <v>0.26250000000000001</v>
      </c>
      <c r="J109">
        <v>0.26250000000000001</v>
      </c>
      <c r="K109">
        <v>0.26250000000000001</v>
      </c>
      <c r="L109">
        <v>1</v>
      </c>
      <c r="M109">
        <v>0.26250000000000001</v>
      </c>
      <c r="N109">
        <v>0.170625</v>
      </c>
      <c r="O109">
        <v>0.170625</v>
      </c>
      <c r="P109">
        <v>0.170625</v>
      </c>
      <c r="Q109">
        <v>0.170625</v>
      </c>
      <c r="R109">
        <v>0.48749999999999999</v>
      </c>
      <c r="S109">
        <v>0.170625</v>
      </c>
      <c r="T109">
        <v>0.170625</v>
      </c>
      <c r="U109">
        <v>0.48749999999999999</v>
      </c>
      <c r="V109">
        <v>0.170625</v>
      </c>
    </row>
    <row r="110" spans="1:22" x14ac:dyDescent="0.35">
      <c r="A110" t="s">
        <v>130</v>
      </c>
      <c r="B110">
        <v>0.170625</v>
      </c>
      <c r="C110">
        <v>0.170625</v>
      </c>
      <c r="D110">
        <v>0.170625</v>
      </c>
      <c r="E110">
        <v>0.170625</v>
      </c>
      <c r="F110">
        <v>0.170625</v>
      </c>
      <c r="G110">
        <v>0.48749999999999999</v>
      </c>
      <c r="H110">
        <v>0.26250000000000001</v>
      </c>
      <c r="I110">
        <v>0.26250000000000001</v>
      </c>
      <c r="J110">
        <v>0.26250000000000001</v>
      </c>
      <c r="K110">
        <v>0.26250000000000001</v>
      </c>
      <c r="L110">
        <v>0.26250000000000001</v>
      </c>
      <c r="M110">
        <v>1</v>
      </c>
      <c r="N110">
        <v>0.170625</v>
      </c>
      <c r="O110">
        <v>0.170625</v>
      </c>
      <c r="P110">
        <v>0.170625</v>
      </c>
      <c r="Q110">
        <v>0.170625</v>
      </c>
      <c r="R110">
        <v>0.170625</v>
      </c>
      <c r="S110">
        <v>0.48749999999999999</v>
      </c>
      <c r="T110">
        <v>0.170625</v>
      </c>
      <c r="U110">
        <v>0.170625</v>
      </c>
      <c r="V110">
        <v>0.48749999999999999</v>
      </c>
    </row>
    <row r="111" spans="1:22" x14ac:dyDescent="0.35">
      <c r="A111" t="s">
        <v>131</v>
      </c>
      <c r="B111">
        <v>0.48749999999999999</v>
      </c>
      <c r="C111">
        <v>0.170625</v>
      </c>
      <c r="D111">
        <v>0.170625</v>
      </c>
      <c r="E111">
        <v>0.170625</v>
      </c>
      <c r="F111">
        <v>0.170625</v>
      </c>
      <c r="G111">
        <v>0.170625</v>
      </c>
      <c r="H111">
        <v>0.48749999999999999</v>
      </c>
      <c r="I111">
        <v>0.170625</v>
      </c>
      <c r="J111">
        <v>0.170625</v>
      </c>
      <c r="K111">
        <v>0.170625</v>
      </c>
      <c r="L111">
        <v>0.170625</v>
      </c>
      <c r="M111">
        <v>0.170625</v>
      </c>
      <c r="N111">
        <v>1</v>
      </c>
      <c r="O111">
        <v>0.26250000000000001</v>
      </c>
      <c r="P111">
        <v>0.26250000000000001</v>
      </c>
      <c r="Q111">
        <v>0.26250000000000001</v>
      </c>
      <c r="R111">
        <v>0.26250000000000001</v>
      </c>
      <c r="S111">
        <v>0.26250000000000001</v>
      </c>
      <c r="T111">
        <v>0.170625</v>
      </c>
      <c r="U111">
        <v>0.170625</v>
      </c>
      <c r="V111">
        <v>0.170625</v>
      </c>
    </row>
    <row r="112" spans="1:22" x14ac:dyDescent="0.35">
      <c r="A112" t="s">
        <v>133</v>
      </c>
      <c r="B112">
        <v>0.170625</v>
      </c>
      <c r="C112">
        <v>0.48749999999999999</v>
      </c>
      <c r="D112">
        <v>0.170625</v>
      </c>
      <c r="E112">
        <v>0.170625</v>
      </c>
      <c r="F112">
        <v>0.170625</v>
      </c>
      <c r="G112">
        <v>0.170625</v>
      </c>
      <c r="H112">
        <v>0.170625</v>
      </c>
      <c r="I112">
        <v>0.48749999999999999</v>
      </c>
      <c r="J112">
        <v>0.170625</v>
      </c>
      <c r="K112">
        <v>0.170625</v>
      </c>
      <c r="L112">
        <v>0.170625</v>
      </c>
      <c r="M112">
        <v>0.170625</v>
      </c>
      <c r="N112">
        <v>0.26250000000000001</v>
      </c>
      <c r="O112">
        <v>1</v>
      </c>
      <c r="P112">
        <v>0.26250000000000001</v>
      </c>
      <c r="Q112">
        <v>0.26250000000000001</v>
      </c>
      <c r="R112">
        <v>0.26250000000000001</v>
      </c>
      <c r="S112">
        <v>0.26250000000000001</v>
      </c>
      <c r="T112">
        <v>0.170625</v>
      </c>
      <c r="U112">
        <v>0.170625</v>
      </c>
      <c r="V112">
        <v>0.170625</v>
      </c>
    </row>
    <row r="113" spans="1:22" x14ac:dyDescent="0.35">
      <c r="A113" t="s">
        <v>134</v>
      </c>
      <c r="B113">
        <v>0.170625</v>
      </c>
      <c r="C113">
        <v>0.170625</v>
      </c>
      <c r="D113">
        <v>0.48749999999999999</v>
      </c>
      <c r="E113">
        <v>0.170625</v>
      </c>
      <c r="F113">
        <v>0.170625</v>
      </c>
      <c r="G113">
        <v>0.170625</v>
      </c>
      <c r="H113">
        <v>0.170625</v>
      </c>
      <c r="I113">
        <v>0.170625</v>
      </c>
      <c r="J113">
        <v>0.48749999999999999</v>
      </c>
      <c r="K113">
        <v>0.170625</v>
      </c>
      <c r="L113">
        <v>0.170625</v>
      </c>
      <c r="M113">
        <v>0.170625</v>
      </c>
      <c r="N113">
        <v>0.26250000000000001</v>
      </c>
      <c r="O113">
        <v>0.26250000000000001</v>
      </c>
      <c r="P113">
        <v>1</v>
      </c>
      <c r="Q113">
        <v>0.26250000000000001</v>
      </c>
      <c r="R113">
        <v>0.26250000000000001</v>
      </c>
      <c r="S113">
        <v>0.26250000000000001</v>
      </c>
      <c r="T113">
        <v>0.48749999999999999</v>
      </c>
      <c r="U113">
        <v>0.170625</v>
      </c>
      <c r="V113">
        <v>0.170625</v>
      </c>
    </row>
    <row r="114" spans="1:22" x14ac:dyDescent="0.35">
      <c r="A114" t="s">
        <v>135</v>
      </c>
      <c r="B114">
        <v>0.170625</v>
      </c>
      <c r="C114">
        <v>0.170625</v>
      </c>
      <c r="D114">
        <v>0.170625</v>
      </c>
      <c r="E114">
        <v>0.48749999999999999</v>
      </c>
      <c r="F114">
        <v>0.170625</v>
      </c>
      <c r="G114">
        <v>0.170625</v>
      </c>
      <c r="H114">
        <v>0.170625</v>
      </c>
      <c r="I114">
        <v>0.170625</v>
      </c>
      <c r="J114">
        <v>0.170625</v>
      </c>
      <c r="K114">
        <v>0.48749999999999999</v>
      </c>
      <c r="L114">
        <v>0.170625</v>
      </c>
      <c r="M114">
        <v>0.170625</v>
      </c>
      <c r="N114">
        <v>0.26250000000000001</v>
      </c>
      <c r="O114">
        <v>0.26250000000000001</v>
      </c>
      <c r="P114">
        <v>0.26250000000000001</v>
      </c>
      <c r="Q114">
        <v>1</v>
      </c>
      <c r="R114">
        <v>0.26250000000000001</v>
      </c>
      <c r="S114">
        <v>0.26250000000000001</v>
      </c>
      <c r="T114">
        <v>0.170625</v>
      </c>
      <c r="U114">
        <v>0.170625</v>
      </c>
      <c r="V114">
        <v>0.170625</v>
      </c>
    </row>
    <row r="115" spans="1:22" x14ac:dyDescent="0.35">
      <c r="A115" t="s">
        <v>136</v>
      </c>
      <c r="B115">
        <v>0.170625</v>
      </c>
      <c r="C115">
        <v>0.170625</v>
      </c>
      <c r="D115">
        <v>0.170625</v>
      </c>
      <c r="E115">
        <v>0.170625</v>
      </c>
      <c r="F115">
        <v>0.48749999999999999</v>
      </c>
      <c r="G115">
        <v>0.170625</v>
      </c>
      <c r="H115">
        <v>0.170625</v>
      </c>
      <c r="I115">
        <v>0.170625</v>
      </c>
      <c r="J115">
        <v>0.170625</v>
      </c>
      <c r="K115">
        <v>0.170625</v>
      </c>
      <c r="L115">
        <v>0.48749999999999999</v>
      </c>
      <c r="M115">
        <v>0.170625</v>
      </c>
      <c r="N115">
        <v>0.26250000000000001</v>
      </c>
      <c r="O115">
        <v>0.26250000000000001</v>
      </c>
      <c r="P115">
        <v>0.26250000000000001</v>
      </c>
      <c r="Q115">
        <v>0.26250000000000001</v>
      </c>
      <c r="R115">
        <v>1</v>
      </c>
      <c r="S115">
        <v>0.26250000000000001</v>
      </c>
      <c r="T115">
        <v>0.170625</v>
      </c>
      <c r="U115">
        <v>0.48749999999999999</v>
      </c>
      <c r="V115">
        <v>0.170625</v>
      </c>
    </row>
    <row r="116" spans="1:22" x14ac:dyDescent="0.35">
      <c r="A116" t="s">
        <v>137</v>
      </c>
      <c r="B116">
        <v>0.170625</v>
      </c>
      <c r="C116">
        <v>0.170625</v>
      </c>
      <c r="D116">
        <v>0.170625</v>
      </c>
      <c r="E116">
        <v>0.170625</v>
      </c>
      <c r="F116">
        <v>0.170625</v>
      </c>
      <c r="G116">
        <v>0.48749999999999999</v>
      </c>
      <c r="H116">
        <v>0.170625</v>
      </c>
      <c r="I116">
        <v>0.170625</v>
      </c>
      <c r="J116">
        <v>0.170625</v>
      </c>
      <c r="K116">
        <v>0.170625</v>
      </c>
      <c r="L116">
        <v>0.170625</v>
      </c>
      <c r="M116">
        <v>0.48749999999999999</v>
      </c>
      <c r="N116">
        <v>0.26250000000000001</v>
      </c>
      <c r="O116">
        <v>0.26250000000000001</v>
      </c>
      <c r="P116">
        <v>0.26250000000000001</v>
      </c>
      <c r="Q116">
        <v>0.26250000000000001</v>
      </c>
      <c r="R116">
        <v>0.26250000000000001</v>
      </c>
      <c r="S116">
        <v>1</v>
      </c>
      <c r="T116">
        <v>0.170625</v>
      </c>
      <c r="U116">
        <v>0.170625</v>
      </c>
      <c r="V116">
        <v>0.48749999999999999</v>
      </c>
    </row>
    <row r="117" spans="1:22" x14ac:dyDescent="0.35">
      <c r="A117" t="s">
        <v>138</v>
      </c>
      <c r="B117">
        <v>0.170625</v>
      </c>
      <c r="C117">
        <v>0.170625</v>
      </c>
      <c r="D117">
        <v>0.48749999999999999</v>
      </c>
      <c r="E117">
        <v>0.170625</v>
      </c>
      <c r="F117">
        <v>0.170625</v>
      </c>
      <c r="G117">
        <v>0.170625</v>
      </c>
      <c r="H117">
        <v>0.170625</v>
      </c>
      <c r="I117">
        <v>0.170625</v>
      </c>
      <c r="J117">
        <v>0.48749999999999999</v>
      </c>
      <c r="K117">
        <v>0.170625</v>
      </c>
      <c r="L117">
        <v>0.170625</v>
      </c>
      <c r="M117">
        <v>0.170625</v>
      </c>
      <c r="N117">
        <v>0.170625</v>
      </c>
      <c r="O117">
        <v>0.170625</v>
      </c>
      <c r="P117">
        <v>0.48749999999999999</v>
      </c>
      <c r="Q117">
        <v>0.170625</v>
      </c>
      <c r="R117">
        <v>0.170625</v>
      </c>
      <c r="S117">
        <v>0.170625</v>
      </c>
      <c r="T117">
        <v>1</v>
      </c>
      <c r="U117">
        <v>0.26250000000000001</v>
      </c>
      <c r="V117">
        <v>0.26250000000000001</v>
      </c>
    </row>
    <row r="118" spans="1:22" x14ac:dyDescent="0.35">
      <c r="A118" t="s">
        <v>140</v>
      </c>
      <c r="B118">
        <v>0.170625</v>
      </c>
      <c r="C118">
        <v>0.170625</v>
      </c>
      <c r="D118">
        <v>0.170625</v>
      </c>
      <c r="E118">
        <v>0.170625</v>
      </c>
      <c r="F118">
        <v>0.48749999999999999</v>
      </c>
      <c r="G118">
        <v>0.170625</v>
      </c>
      <c r="H118">
        <v>0.170625</v>
      </c>
      <c r="I118">
        <v>0.170625</v>
      </c>
      <c r="J118">
        <v>0.170625</v>
      </c>
      <c r="K118">
        <v>0.170625</v>
      </c>
      <c r="L118">
        <v>0.48749999999999999</v>
      </c>
      <c r="M118">
        <v>0.170625</v>
      </c>
      <c r="N118">
        <v>0.170625</v>
      </c>
      <c r="O118">
        <v>0.170625</v>
      </c>
      <c r="P118">
        <v>0.170625</v>
      </c>
      <c r="Q118">
        <v>0.170625</v>
      </c>
      <c r="R118">
        <v>0.48749999999999999</v>
      </c>
      <c r="S118">
        <v>0.170625</v>
      </c>
      <c r="T118">
        <v>0.26250000000000001</v>
      </c>
      <c r="U118">
        <v>1</v>
      </c>
      <c r="V118">
        <v>0.26250000000000001</v>
      </c>
    </row>
    <row r="119" spans="1:22" x14ac:dyDescent="0.35">
      <c r="A119" t="s">
        <v>141</v>
      </c>
      <c r="B119">
        <v>0.170625</v>
      </c>
      <c r="C119">
        <v>0.170625</v>
      </c>
      <c r="D119">
        <v>0.170625</v>
      </c>
      <c r="E119">
        <v>0.170625</v>
      </c>
      <c r="F119">
        <v>0.170625</v>
      </c>
      <c r="G119">
        <v>0.48749999999999999</v>
      </c>
      <c r="H119">
        <v>0.170625</v>
      </c>
      <c r="I119">
        <v>0.170625</v>
      </c>
      <c r="J119">
        <v>0.170625</v>
      </c>
      <c r="K119">
        <v>0.170625</v>
      </c>
      <c r="L119">
        <v>0.170625</v>
      </c>
      <c r="M119">
        <v>0.48749999999999999</v>
      </c>
      <c r="N119">
        <v>0.170625</v>
      </c>
      <c r="O119">
        <v>0.170625</v>
      </c>
      <c r="P119">
        <v>0.170625</v>
      </c>
      <c r="Q119">
        <v>0.170625</v>
      </c>
      <c r="R119">
        <v>0.170625</v>
      </c>
      <c r="S119">
        <v>0.48749999999999999</v>
      </c>
      <c r="T119">
        <v>0.26250000000000001</v>
      </c>
      <c r="U119">
        <v>0.26250000000000001</v>
      </c>
      <c r="V119">
        <v>1</v>
      </c>
    </row>
    <row r="122" spans="1:22" x14ac:dyDescent="0.35">
      <c r="A122" t="s">
        <v>375</v>
      </c>
    </row>
    <row r="123" spans="1:22" x14ac:dyDescent="0.35">
      <c r="B123" t="s">
        <v>142</v>
      </c>
      <c r="C123" t="s">
        <v>145</v>
      </c>
      <c r="D123" t="s">
        <v>147</v>
      </c>
      <c r="E123" t="s">
        <v>149</v>
      </c>
      <c r="F123" t="s">
        <v>151</v>
      </c>
      <c r="G123" t="s">
        <v>152</v>
      </c>
      <c r="H123" t="s">
        <v>153</v>
      </c>
      <c r="I123" t="s">
        <v>155</v>
      </c>
      <c r="J123" t="s">
        <v>156</v>
      </c>
    </row>
    <row r="124" spans="1:22" x14ac:dyDescent="0.35">
      <c r="A124" t="s">
        <v>142</v>
      </c>
      <c r="B124">
        <v>1</v>
      </c>
      <c r="C124">
        <v>0.26250000000000001</v>
      </c>
      <c r="D124">
        <v>0.26250000000000001</v>
      </c>
      <c r="E124">
        <v>0.48749999999999999</v>
      </c>
      <c r="F124">
        <v>0.170625</v>
      </c>
      <c r="G124">
        <v>0.170625</v>
      </c>
      <c r="H124">
        <v>0.48749999999999999</v>
      </c>
      <c r="I124">
        <v>0.170625</v>
      </c>
      <c r="J124">
        <v>0.48749999999999999</v>
      </c>
    </row>
    <row r="125" spans="1:22" x14ac:dyDescent="0.35">
      <c r="A125" t="s">
        <v>145</v>
      </c>
      <c r="B125">
        <v>0.26250000000000001</v>
      </c>
      <c r="C125">
        <v>1</v>
      </c>
      <c r="D125">
        <v>0.26250000000000001</v>
      </c>
      <c r="E125">
        <v>0.170625</v>
      </c>
      <c r="F125">
        <v>0.48749999999999999</v>
      </c>
      <c r="G125">
        <v>0.170625</v>
      </c>
      <c r="H125">
        <v>0.170625</v>
      </c>
      <c r="I125">
        <v>0.170625</v>
      </c>
      <c r="J125">
        <v>0.170625</v>
      </c>
    </row>
    <row r="126" spans="1:22" x14ac:dyDescent="0.35">
      <c r="A126" t="s">
        <v>147</v>
      </c>
      <c r="B126">
        <v>0.26250000000000001</v>
      </c>
      <c r="C126">
        <v>0.26250000000000001</v>
      </c>
      <c r="D126">
        <v>1</v>
      </c>
      <c r="E126">
        <v>0.170625</v>
      </c>
      <c r="F126">
        <v>0.170625</v>
      </c>
      <c r="G126">
        <v>0.48749999999999999</v>
      </c>
      <c r="H126">
        <v>0.170625</v>
      </c>
      <c r="I126">
        <v>0.48749999999999999</v>
      </c>
      <c r="J126">
        <v>0.170625</v>
      </c>
    </row>
    <row r="127" spans="1:22" x14ac:dyDescent="0.35">
      <c r="A127" t="s">
        <v>149</v>
      </c>
      <c r="B127">
        <v>0.48749999999999999</v>
      </c>
      <c r="C127">
        <v>0.170625</v>
      </c>
      <c r="D127">
        <v>0.170625</v>
      </c>
      <c r="E127">
        <v>1</v>
      </c>
      <c r="F127">
        <v>0.26250000000000001</v>
      </c>
      <c r="G127">
        <v>0.26250000000000001</v>
      </c>
      <c r="H127">
        <v>0.48749999999999999</v>
      </c>
      <c r="I127">
        <v>0.170625</v>
      </c>
      <c r="J127">
        <v>0.48749999999999999</v>
      </c>
    </row>
    <row r="128" spans="1:22" x14ac:dyDescent="0.35">
      <c r="A128" t="s">
        <v>151</v>
      </c>
      <c r="B128">
        <v>0.170625</v>
      </c>
      <c r="C128">
        <v>0.48749999999999999</v>
      </c>
      <c r="D128">
        <v>0.170625</v>
      </c>
      <c r="E128">
        <v>0.26250000000000001</v>
      </c>
      <c r="F128">
        <v>1</v>
      </c>
      <c r="G128">
        <v>0.26250000000000001</v>
      </c>
      <c r="H128">
        <v>0.170625</v>
      </c>
      <c r="I128">
        <v>0.170625</v>
      </c>
      <c r="J128">
        <v>0.170625</v>
      </c>
    </row>
    <row r="129" spans="1:11" x14ac:dyDescent="0.35">
      <c r="A129" t="s">
        <v>152</v>
      </c>
      <c r="B129">
        <v>0.170625</v>
      </c>
      <c r="C129">
        <v>0.170625</v>
      </c>
      <c r="D129">
        <v>0.48749999999999999</v>
      </c>
      <c r="E129">
        <v>0.26250000000000001</v>
      </c>
      <c r="F129">
        <v>0.26250000000000001</v>
      </c>
      <c r="G129">
        <v>1</v>
      </c>
      <c r="H129">
        <v>0.170625</v>
      </c>
      <c r="I129">
        <v>0.48749999999999999</v>
      </c>
      <c r="J129">
        <v>0.170625</v>
      </c>
    </row>
    <row r="130" spans="1:11" x14ac:dyDescent="0.35">
      <c r="A130" t="s">
        <v>153</v>
      </c>
      <c r="B130">
        <v>0.48749999999999999</v>
      </c>
      <c r="C130">
        <v>0.170625</v>
      </c>
      <c r="D130">
        <v>0.170625</v>
      </c>
      <c r="E130">
        <v>0.48749999999999999</v>
      </c>
      <c r="F130">
        <v>0.170625</v>
      </c>
      <c r="G130">
        <v>0.170625</v>
      </c>
      <c r="H130">
        <v>1</v>
      </c>
      <c r="I130">
        <v>0.26250000000000001</v>
      </c>
      <c r="J130">
        <v>0.48749999999999999</v>
      </c>
    </row>
    <row r="131" spans="1:11" x14ac:dyDescent="0.35">
      <c r="A131" t="s">
        <v>155</v>
      </c>
      <c r="B131">
        <v>0.170625</v>
      </c>
      <c r="C131">
        <v>0.170625</v>
      </c>
      <c r="D131">
        <v>0.48749999999999999</v>
      </c>
      <c r="E131">
        <v>0.170625</v>
      </c>
      <c r="F131">
        <v>0.170625</v>
      </c>
      <c r="G131">
        <v>0.48749999999999999</v>
      </c>
      <c r="H131">
        <v>0.26250000000000001</v>
      </c>
      <c r="I131">
        <v>1</v>
      </c>
      <c r="J131">
        <v>0.170625</v>
      </c>
    </row>
    <row r="132" spans="1:11" x14ac:dyDescent="0.35">
      <c r="A132" t="s">
        <v>156</v>
      </c>
      <c r="B132">
        <v>0.48749999999999999</v>
      </c>
      <c r="C132">
        <v>0.170625</v>
      </c>
      <c r="D132">
        <v>0.170625</v>
      </c>
      <c r="E132">
        <v>0.48749999999999999</v>
      </c>
      <c r="F132">
        <v>0.170625</v>
      </c>
      <c r="G132">
        <v>0.170625</v>
      </c>
      <c r="H132">
        <v>0.48749999999999999</v>
      </c>
      <c r="I132">
        <v>0.170625</v>
      </c>
      <c r="J132">
        <v>1</v>
      </c>
    </row>
    <row r="135" spans="1:11" x14ac:dyDescent="0.35">
      <c r="A135" t="s">
        <v>376</v>
      </c>
    </row>
    <row r="136" spans="1:11" x14ac:dyDescent="0.35">
      <c r="B136" t="s">
        <v>159</v>
      </c>
      <c r="C136" t="s">
        <v>162</v>
      </c>
      <c r="D136" t="s">
        <v>164</v>
      </c>
    </row>
    <row r="137" spans="1:11" x14ac:dyDescent="0.35">
      <c r="A137" t="s">
        <v>159</v>
      </c>
      <c r="B137">
        <v>1</v>
      </c>
      <c r="C137">
        <v>0.60000000000000009</v>
      </c>
      <c r="D137">
        <v>0.60000000000000009</v>
      </c>
    </row>
    <row r="138" spans="1:11" x14ac:dyDescent="0.35">
      <c r="A138" t="s">
        <v>162</v>
      </c>
      <c r="B138">
        <v>0.60000000000000009</v>
      </c>
      <c r="C138">
        <v>1</v>
      </c>
      <c r="D138">
        <v>0.60000000000000009</v>
      </c>
    </row>
    <row r="139" spans="1:11" x14ac:dyDescent="0.35">
      <c r="A139" t="s">
        <v>164</v>
      </c>
      <c r="B139">
        <v>0.60000000000000009</v>
      </c>
      <c r="C139">
        <v>0.60000000000000009</v>
      </c>
      <c r="D139">
        <v>1</v>
      </c>
    </row>
    <row r="142" spans="1:11" x14ac:dyDescent="0.35">
      <c r="A142" t="s">
        <v>377</v>
      </c>
    </row>
    <row r="143" spans="1:11" x14ac:dyDescent="0.35">
      <c r="B143" t="s">
        <v>166</v>
      </c>
      <c r="C143" t="s">
        <v>169</v>
      </c>
      <c r="D143" t="s">
        <v>171</v>
      </c>
      <c r="E143" t="s">
        <v>173</v>
      </c>
      <c r="F143" t="s">
        <v>174</v>
      </c>
      <c r="G143" t="s">
        <v>176</v>
      </c>
      <c r="H143" t="s">
        <v>177</v>
      </c>
      <c r="I143" t="s">
        <v>179</v>
      </c>
      <c r="J143" t="s">
        <v>180</v>
      </c>
      <c r="K143" t="s">
        <v>182</v>
      </c>
    </row>
    <row r="144" spans="1:11" x14ac:dyDescent="0.35">
      <c r="A144" t="s">
        <v>166</v>
      </c>
      <c r="B144">
        <v>1</v>
      </c>
      <c r="C144">
        <v>0.3</v>
      </c>
      <c r="D144">
        <v>0.60000000000000009</v>
      </c>
      <c r="E144">
        <v>0.24</v>
      </c>
      <c r="F144">
        <v>0.60000000000000009</v>
      </c>
      <c r="G144">
        <v>0.24</v>
      </c>
      <c r="H144">
        <v>0.60000000000000009</v>
      </c>
      <c r="I144">
        <v>0.24</v>
      </c>
      <c r="J144">
        <v>0.60000000000000009</v>
      </c>
      <c r="K144">
        <v>0.24</v>
      </c>
    </row>
    <row r="145" spans="1:11" x14ac:dyDescent="0.35">
      <c r="A145" t="s">
        <v>169</v>
      </c>
      <c r="B145">
        <v>0.3</v>
      </c>
      <c r="C145">
        <v>1</v>
      </c>
      <c r="D145">
        <v>0.24</v>
      </c>
      <c r="E145">
        <v>0.60000000000000009</v>
      </c>
      <c r="F145">
        <v>0.24</v>
      </c>
      <c r="G145">
        <v>0.60000000000000009</v>
      </c>
      <c r="H145">
        <v>0.24</v>
      </c>
      <c r="I145">
        <v>0.60000000000000009</v>
      </c>
      <c r="J145">
        <v>0.24</v>
      </c>
      <c r="K145">
        <v>0.60000000000000009</v>
      </c>
    </row>
    <row r="146" spans="1:11" x14ac:dyDescent="0.35">
      <c r="A146" t="s">
        <v>171</v>
      </c>
      <c r="B146">
        <v>0.60000000000000009</v>
      </c>
      <c r="C146">
        <v>0.24</v>
      </c>
      <c r="D146">
        <v>1</v>
      </c>
      <c r="E146">
        <v>0.3</v>
      </c>
      <c r="F146">
        <v>0.60000000000000009</v>
      </c>
      <c r="G146">
        <v>0.24</v>
      </c>
      <c r="H146">
        <v>0.60000000000000009</v>
      </c>
      <c r="I146">
        <v>0.24</v>
      </c>
      <c r="J146">
        <v>0.60000000000000009</v>
      </c>
      <c r="K146">
        <v>0.24</v>
      </c>
    </row>
    <row r="147" spans="1:11" x14ac:dyDescent="0.35">
      <c r="A147" t="s">
        <v>173</v>
      </c>
      <c r="B147">
        <v>0.24</v>
      </c>
      <c r="C147">
        <v>0.60000000000000009</v>
      </c>
      <c r="D147">
        <v>0.3</v>
      </c>
      <c r="E147">
        <v>1</v>
      </c>
      <c r="F147">
        <v>0.24</v>
      </c>
      <c r="G147">
        <v>0.60000000000000009</v>
      </c>
      <c r="H147">
        <v>0.24</v>
      </c>
      <c r="I147">
        <v>0.60000000000000009</v>
      </c>
      <c r="J147">
        <v>0.24</v>
      </c>
      <c r="K147">
        <v>0.60000000000000009</v>
      </c>
    </row>
    <row r="148" spans="1:11" x14ac:dyDescent="0.35">
      <c r="A148" t="s">
        <v>174</v>
      </c>
      <c r="B148">
        <v>0.60000000000000009</v>
      </c>
      <c r="C148">
        <v>0.24</v>
      </c>
      <c r="D148">
        <v>0.60000000000000009</v>
      </c>
      <c r="E148">
        <v>0.24</v>
      </c>
      <c r="F148">
        <v>1</v>
      </c>
      <c r="G148">
        <v>0.3</v>
      </c>
      <c r="H148">
        <v>0.60000000000000009</v>
      </c>
      <c r="I148">
        <v>0.24</v>
      </c>
      <c r="J148">
        <v>0.60000000000000009</v>
      </c>
      <c r="K148">
        <v>0.24</v>
      </c>
    </row>
    <row r="149" spans="1:11" x14ac:dyDescent="0.35">
      <c r="A149" t="s">
        <v>176</v>
      </c>
      <c r="B149">
        <v>0.24</v>
      </c>
      <c r="C149">
        <v>0.60000000000000009</v>
      </c>
      <c r="D149">
        <v>0.24</v>
      </c>
      <c r="E149">
        <v>0.60000000000000009</v>
      </c>
      <c r="F149">
        <v>0.3</v>
      </c>
      <c r="G149">
        <v>1</v>
      </c>
      <c r="H149">
        <v>0.24</v>
      </c>
      <c r="I149">
        <v>0.60000000000000009</v>
      </c>
      <c r="J149">
        <v>0.24</v>
      </c>
      <c r="K149">
        <v>0.60000000000000009</v>
      </c>
    </row>
    <row r="150" spans="1:11" x14ac:dyDescent="0.35">
      <c r="A150" t="s">
        <v>177</v>
      </c>
      <c r="B150">
        <v>0.60000000000000009</v>
      </c>
      <c r="C150">
        <v>0.24</v>
      </c>
      <c r="D150">
        <v>0.60000000000000009</v>
      </c>
      <c r="E150">
        <v>0.24</v>
      </c>
      <c r="F150">
        <v>0.60000000000000009</v>
      </c>
      <c r="G150">
        <v>0.24</v>
      </c>
      <c r="H150">
        <v>1</v>
      </c>
      <c r="I150">
        <v>0.3</v>
      </c>
      <c r="J150">
        <v>0.60000000000000009</v>
      </c>
      <c r="K150">
        <v>0.24</v>
      </c>
    </row>
    <row r="151" spans="1:11" x14ac:dyDescent="0.35">
      <c r="A151" t="s">
        <v>179</v>
      </c>
      <c r="B151">
        <v>0.24</v>
      </c>
      <c r="C151">
        <v>0.60000000000000009</v>
      </c>
      <c r="D151">
        <v>0.24</v>
      </c>
      <c r="E151">
        <v>0.60000000000000009</v>
      </c>
      <c r="F151">
        <v>0.24</v>
      </c>
      <c r="G151">
        <v>0.60000000000000009</v>
      </c>
      <c r="H151">
        <v>0.3</v>
      </c>
      <c r="I151">
        <v>1</v>
      </c>
      <c r="J151">
        <v>0.24</v>
      </c>
      <c r="K151">
        <v>0.60000000000000009</v>
      </c>
    </row>
    <row r="152" spans="1:11" x14ac:dyDescent="0.35">
      <c r="A152" t="s">
        <v>180</v>
      </c>
      <c r="B152">
        <v>0.60000000000000009</v>
      </c>
      <c r="C152">
        <v>0.24</v>
      </c>
      <c r="D152">
        <v>0.60000000000000009</v>
      </c>
      <c r="E152">
        <v>0.24</v>
      </c>
      <c r="F152">
        <v>0.60000000000000009</v>
      </c>
      <c r="G152">
        <v>0.24</v>
      </c>
      <c r="H152">
        <v>0.60000000000000009</v>
      </c>
      <c r="I152">
        <v>0.24</v>
      </c>
      <c r="J152">
        <v>1</v>
      </c>
      <c r="K152">
        <v>0.3</v>
      </c>
    </row>
    <row r="153" spans="1:11" x14ac:dyDescent="0.35">
      <c r="A153" t="s">
        <v>182</v>
      </c>
      <c r="B153">
        <v>0.24</v>
      </c>
      <c r="C153">
        <v>0.60000000000000009</v>
      </c>
      <c r="D153">
        <v>0.24</v>
      </c>
      <c r="E153">
        <v>0.60000000000000009</v>
      </c>
      <c r="F153">
        <v>0.24</v>
      </c>
      <c r="G153">
        <v>0.60000000000000009</v>
      </c>
      <c r="H153">
        <v>0.24</v>
      </c>
      <c r="I153">
        <v>0.60000000000000009</v>
      </c>
      <c r="J153">
        <v>0.3</v>
      </c>
      <c r="K153">
        <v>1</v>
      </c>
    </row>
    <row r="156" spans="1:11" x14ac:dyDescent="0.35">
      <c r="A156" t="s">
        <v>378</v>
      </c>
    </row>
    <row r="157" spans="1:11" x14ac:dyDescent="0.35">
      <c r="B157" t="s">
        <v>183</v>
      </c>
      <c r="C157" t="s">
        <v>186</v>
      </c>
      <c r="D157" t="s">
        <v>188</v>
      </c>
      <c r="E157" t="s">
        <v>190</v>
      </c>
      <c r="F157" t="s">
        <v>191</v>
      </c>
      <c r="G157" t="s">
        <v>193</v>
      </c>
    </row>
    <row r="158" spans="1:11" x14ac:dyDescent="0.35">
      <c r="A158" t="s">
        <v>183</v>
      </c>
      <c r="B158">
        <v>1</v>
      </c>
      <c r="C158">
        <v>0.3</v>
      </c>
      <c r="D158">
        <v>0.60000000000000009</v>
      </c>
      <c r="E158">
        <v>0.24</v>
      </c>
      <c r="F158">
        <v>0.24</v>
      </c>
      <c r="G158">
        <v>0.24</v>
      </c>
    </row>
    <row r="159" spans="1:11" x14ac:dyDescent="0.35">
      <c r="A159" t="s">
        <v>186</v>
      </c>
      <c r="B159">
        <v>0.3</v>
      </c>
      <c r="C159">
        <v>1</v>
      </c>
      <c r="D159">
        <v>0.24</v>
      </c>
      <c r="E159">
        <v>0.60000000000000009</v>
      </c>
      <c r="F159">
        <v>0.60000000000000009</v>
      </c>
      <c r="G159">
        <v>0.60000000000000009</v>
      </c>
    </row>
    <row r="160" spans="1:11" x14ac:dyDescent="0.35">
      <c r="A160" t="s">
        <v>188</v>
      </c>
      <c r="B160">
        <v>0.60000000000000009</v>
      </c>
      <c r="C160">
        <v>0.24</v>
      </c>
      <c r="D160">
        <v>1</v>
      </c>
      <c r="E160">
        <v>0.3</v>
      </c>
      <c r="F160">
        <v>0.24</v>
      </c>
      <c r="G160">
        <v>0.24</v>
      </c>
    </row>
    <row r="161" spans="1:7" x14ac:dyDescent="0.35">
      <c r="A161" t="s">
        <v>190</v>
      </c>
      <c r="B161">
        <v>0.24</v>
      </c>
      <c r="C161">
        <v>0.60000000000000009</v>
      </c>
      <c r="D161">
        <v>0.3</v>
      </c>
      <c r="E161">
        <v>1</v>
      </c>
      <c r="F161">
        <v>0.60000000000000009</v>
      </c>
      <c r="G161">
        <v>0.60000000000000009</v>
      </c>
    </row>
    <row r="162" spans="1:7" x14ac:dyDescent="0.35">
      <c r="A162" t="s">
        <v>191</v>
      </c>
      <c r="B162">
        <v>0.24</v>
      </c>
      <c r="C162">
        <v>0.60000000000000009</v>
      </c>
      <c r="D162">
        <v>0.24</v>
      </c>
      <c r="E162">
        <v>0.60000000000000009</v>
      </c>
      <c r="F162">
        <v>1</v>
      </c>
      <c r="G162">
        <v>0.60000000000000009</v>
      </c>
    </row>
    <row r="163" spans="1:7" x14ac:dyDescent="0.35">
      <c r="A163" t="s">
        <v>193</v>
      </c>
      <c r="B163">
        <v>0.24</v>
      </c>
      <c r="C163">
        <v>0.60000000000000009</v>
      </c>
      <c r="D163">
        <v>0.24</v>
      </c>
      <c r="E163">
        <v>0.60000000000000009</v>
      </c>
      <c r="F163">
        <v>0.60000000000000009</v>
      </c>
      <c r="G163">
        <v>1</v>
      </c>
    </row>
    <row r="166" spans="1:7" x14ac:dyDescent="0.35">
      <c r="A166" t="s">
        <v>379</v>
      </c>
    </row>
    <row r="167" spans="1:7" x14ac:dyDescent="0.35">
      <c r="B167" t="s">
        <v>195</v>
      </c>
      <c r="C167" t="s">
        <v>198</v>
      </c>
      <c r="D167" t="s">
        <v>200</v>
      </c>
      <c r="E167" t="s">
        <v>202</v>
      </c>
    </row>
    <row r="168" spans="1:7" x14ac:dyDescent="0.35">
      <c r="A168" t="s">
        <v>195</v>
      </c>
      <c r="B168">
        <v>1</v>
      </c>
      <c r="C168">
        <v>0.60000000000000009</v>
      </c>
      <c r="D168">
        <v>0.60000000000000009</v>
      </c>
      <c r="E168">
        <v>0.60000000000000009</v>
      </c>
    </row>
    <row r="169" spans="1:7" x14ac:dyDescent="0.35">
      <c r="A169" t="s">
        <v>198</v>
      </c>
      <c r="B169">
        <v>0.60000000000000009</v>
      </c>
      <c r="C169">
        <v>1</v>
      </c>
      <c r="D169">
        <v>0.60000000000000009</v>
      </c>
      <c r="E169">
        <v>0.60000000000000009</v>
      </c>
    </row>
    <row r="170" spans="1:7" x14ac:dyDescent="0.35">
      <c r="A170" t="s">
        <v>200</v>
      </c>
      <c r="B170">
        <v>0.60000000000000009</v>
      </c>
      <c r="C170">
        <v>0.60000000000000009</v>
      </c>
      <c r="D170">
        <v>1</v>
      </c>
      <c r="E170">
        <v>0.60000000000000009</v>
      </c>
    </row>
    <row r="171" spans="1:7" x14ac:dyDescent="0.35">
      <c r="A171" t="s">
        <v>202</v>
      </c>
      <c r="B171">
        <v>0.60000000000000009</v>
      </c>
      <c r="C171">
        <v>0.60000000000000009</v>
      </c>
      <c r="D171">
        <v>0.60000000000000009</v>
      </c>
      <c r="E171">
        <v>1</v>
      </c>
    </row>
    <row r="174" spans="1:7" x14ac:dyDescent="0.35">
      <c r="A174" t="s">
        <v>380</v>
      </c>
    </row>
    <row r="175" spans="1:7" x14ac:dyDescent="0.35">
      <c r="B175" t="s">
        <v>204</v>
      </c>
      <c r="C175" t="s">
        <v>207</v>
      </c>
      <c r="D175" t="s">
        <v>209</v>
      </c>
      <c r="E175" t="s">
        <v>211</v>
      </c>
    </row>
    <row r="176" spans="1:7" x14ac:dyDescent="0.35">
      <c r="A176" t="s">
        <v>204</v>
      </c>
      <c r="B176">
        <v>1</v>
      </c>
      <c r="C176">
        <v>0.60000000000000009</v>
      </c>
      <c r="D176">
        <v>0.60000000000000009</v>
      </c>
      <c r="E176">
        <v>0.60000000000000009</v>
      </c>
    </row>
    <row r="177" spans="1:7" x14ac:dyDescent="0.35">
      <c r="A177" t="s">
        <v>207</v>
      </c>
      <c r="B177">
        <v>0.60000000000000009</v>
      </c>
      <c r="C177">
        <v>1</v>
      </c>
      <c r="D177">
        <v>0.60000000000000009</v>
      </c>
      <c r="E177">
        <v>0.60000000000000009</v>
      </c>
    </row>
    <row r="178" spans="1:7" x14ac:dyDescent="0.35">
      <c r="A178" t="s">
        <v>209</v>
      </c>
      <c r="B178">
        <v>0.60000000000000009</v>
      </c>
      <c r="C178">
        <v>0.60000000000000009</v>
      </c>
      <c r="D178">
        <v>1</v>
      </c>
      <c r="E178">
        <v>0.60000000000000009</v>
      </c>
    </row>
    <row r="179" spans="1:7" x14ac:dyDescent="0.35">
      <c r="A179" t="s">
        <v>211</v>
      </c>
      <c r="B179">
        <v>0.60000000000000009</v>
      </c>
      <c r="C179">
        <v>0.60000000000000009</v>
      </c>
      <c r="D179">
        <v>0.60000000000000009</v>
      </c>
      <c r="E179">
        <v>1</v>
      </c>
    </row>
    <row r="182" spans="1:7" x14ac:dyDescent="0.35">
      <c r="A182" t="s">
        <v>381</v>
      </c>
    </row>
    <row r="183" spans="1:7" x14ac:dyDescent="0.35">
      <c r="B183" t="s">
        <v>213</v>
      </c>
      <c r="C183" t="s">
        <v>216</v>
      </c>
      <c r="D183" t="s">
        <v>218</v>
      </c>
      <c r="E183" t="s">
        <v>220</v>
      </c>
      <c r="F183" t="s">
        <v>221</v>
      </c>
      <c r="G183" t="s">
        <v>223</v>
      </c>
    </row>
    <row r="184" spans="1:7" x14ac:dyDescent="0.35">
      <c r="A184" t="s">
        <v>213</v>
      </c>
      <c r="B184">
        <v>1</v>
      </c>
      <c r="C184">
        <v>0.3</v>
      </c>
      <c r="D184">
        <v>0.60000000000000009</v>
      </c>
      <c r="E184">
        <v>0.24</v>
      </c>
      <c r="F184">
        <v>0.60000000000000009</v>
      </c>
      <c r="G184">
        <v>0.24</v>
      </c>
    </row>
    <row r="185" spans="1:7" x14ac:dyDescent="0.35">
      <c r="A185" t="s">
        <v>216</v>
      </c>
      <c r="B185">
        <v>0.3</v>
      </c>
      <c r="C185">
        <v>1</v>
      </c>
      <c r="D185">
        <v>0.24</v>
      </c>
      <c r="E185">
        <v>0.60000000000000009</v>
      </c>
      <c r="F185">
        <v>0.24</v>
      </c>
      <c r="G185">
        <v>0.60000000000000009</v>
      </c>
    </row>
    <row r="186" spans="1:7" x14ac:dyDescent="0.35">
      <c r="A186" t="s">
        <v>218</v>
      </c>
      <c r="B186">
        <v>0.60000000000000009</v>
      </c>
      <c r="C186">
        <v>0.24</v>
      </c>
      <c r="D186">
        <v>1</v>
      </c>
      <c r="E186">
        <v>0.3</v>
      </c>
      <c r="F186">
        <v>0.60000000000000009</v>
      </c>
      <c r="G186">
        <v>0.24</v>
      </c>
    </row>
    <row r="187" spans="1:7" x14ac:dyDescent="0.35">
      <c r="A187" t="s">
        <v>220</v>
      </c>
      <c r="B187">
        <v>0.24</v>
      </c>
      <c r="C187">
        <v>0.60000000000000009</v>
      </c>
      <c r="D187">
        <v>0.3</v>
      </c>
      <c r="E187">
        <v>1</v>
      </c>
      <c r="F187">
        <v>0.24</v>
      </c>
      <c r="G187">
        <v>0.60000000000000009</v>
      </c>
    </row>
    <row r="188" spans="1:7" x14ac:dyDescent="0.35">
      <c r="A188" t="s">
        <v>221</v>
      </c>
      <c r="B188">
        <v>0.60000000000000009</v>
      </c>
      <c r="C188">
        <v>0.24</v>
      </c>
      <c r="D188">
        <v>0.60000000000000009</v>
      </c>
      <c r="E188">
        <v>0.24</v>
      </c>
      <c r="F188">
        <v>1</v>
      </c>
      <c r="G188">
        <v>0.3</v>
      </c>
    </row>
    <row r="189" spans="1:7" x14ac:dyDescent="0.35">
      <c r="A189" t="s">
        <v>223</v>
      </c>
      <c r="B189">
        <v>0.24</v>
      </c>
      <c r="C189">
        <v>0.60000000000000009</v>
      </c>
      <c r="D189">
        <v>0.24</v>
      </c>
      <c r="E189">
        <v>0.60000000000000009</v>
      </c>
      <c r="F189">
        <v>0.3</v>
      </c>
      <c r="G189">
        <v>1</v>
      </c>
    </row>
    <row r="192" spans="1:7" x14ac:dyDescent="0.35">
      <c r="A192" t="s">
        <v>382</v>
      </c>
    </row>
    <row r="193" spans="1:9" x14ac:dyDescent="0.35">
      <c r="B193" t="s">
        <v>224</v>
      </c>
      <c r="C193" t="s">
        <v>227</v>
      </c>
      <c r="D193" t="s">
        <v>229</v>
      </c>
      <c r="E193" t="s">
        <v>231</v>
      </c>
      <c r="F193" t="s">
        <v>233</v>
      </c>
    </row>
    <row r="194" spans="1:9" x14ac:dyDescent="0.35">
      <c r="A194" t="s">
        <v>224</v>
      </c>
      <c r="B194">
        <v>1</v>
      </c>
      <c r="C194">
        <v>0.60000000000000009</v>
      </c>
      <c r="D194">
        <v>0.60000000000000009</v>
      </c>
      <c r="E194">
        <v>0.60000000000000009</v>
      </c>
      <c r="F194">
        <v>0.60000000000000009</v>
      </c>
    </row>
    <row r="195" spans="1:9" x14ac:dyDescent="0.35">
      <c r="A195" t="s">
        <v>227</v>
      </c>
      <c r="B195">
        <v>0.60000000000000009</v>
      </c>
      <c r="C195">
        <v>1</v>
      </c>
      <c r="D195">
        <v>0.60000000000000009</v>
      </c>
      <c r="E195">
        <v>0.60000000000000009</v>
      </c>
      <c r="F195">
        <v>0.60000000000000009</v>
      </c>
    </row>
    <row r="196" spans="1:9" x14ac:dyDescent="0.35">
      <c r="A196" t="s">
        <v>229</v>
      </c>
      <c r="B196">
        <v>0.60000000000000009</v>
      </c>
      <c r="C196">
        <v>0.60000000000000009</v>
      </c>
      <c r="D196">
        <v>1</v>
      </c>
      <c r="E196">
        <v>0.60000000000000009</v>
      </c>
      <c r="F196">
        <v>0.60000000000000009</v>
      </c>
    </row>
    <row r="197" spans="1:9" x14ac:dyDescent="0.35">
      <c r="A197" t="s">
        <v>231</v>
      </c>
      <c r="B197">
        <v>0.60000000000000009</v>
      </c>
      <c r="C197">
        <v>0.60000000000000009</v>
      </c>
      <c r="D197">
        <v>0.60000000000000009</v>
      </c>
      <c r="E197">
        <v>1</v>
      </c>
      <c r="F197">
        <v>0.60000000000000009</v>
      </c>
    </row>
    <row r="198" spans="1:9" x14ac:dyDescent="0.35">
      <c r="A198" t="s">
        <v>233</v>
      </c>
      <c r="B198">
        <v>0.60000000000000009</v>
      </c>
      <c r="C198">
        <v>0.60000000000000009</v>
      </c>
      <c r="D198">
        <v>0.60000000000000009</v>
      </c>
      <c r="E198">
        <v>0.60000000000000009</v>
      </c>
      <c r="F198">
        <v>1</v>
      </c>
    </row>
    <row r="201" spans="1:9" x14ac:dyDescent="0.35">
      <c r="A201" t="s">
        <v>383</v>
      </c>
    </row>
    <row r="202" spans="1:9" x14ac:dyDescent="0.35">
      <c r="B202" t="s">
        <v>235</v>
      </c>
      <c r="C202" t="s">
        <v>238</v>
      </c>
      <c r="D202" t="s">
        <v>240</v>
      </c>
      <c r="E202" t="s">
        <v>242</v>
      </c>
      <c r="F202" t="s">
        <v>243</v>
      </c>
      <c r="G202" t="s">
        <v>245</v>
      </c>
      <c r="H202" t="s">
        <v>246</v>
      </c>
      <c r="I202" t="s">
        <v>248</v>
      </c>
    </row>
    <row r="203" spans="1:9" x14ac:dyDescent="0.35">
      <c r="A203" t="s">
        <v>235</v>
      </c>
      <c r="B203">
        <v>1</v>
      </c>
      <c r="C203">
        <v>0.3</v>
      </c>
      <c r="D203">
        <v>0.60000000000000009</v>
      </c>
      <c r="E203">
        <v>0.24</v>
      </c>
      <c r="F203">
        <v>0.60000000000000009</v>
      </c>
      <c r="G203">
        <v>0.24</v>
      </c>
      <c r="H203">
        <v>0.60000000000000009</v>
      </c>
      <c r="I203">
        <v>0.24</v>
      </c>
    </row>
    <row r="204" spans="1:9" x14ac:dyDescent="0.35">
      <c r="A204" t="s">
        <v>238</v>
      </c>
      <c r="B204">
        <v>0.3</v>
      </c>
      <c r="C204">
        <v>1</v>
      </c>
      <c r="D204">
        <v>0.24</v>
      </c>
      <c r="E204">
        <v>0.60000000000000009</v>
      </c>
      <c r="F204">
        <v>0.24</v>
      </c>
      <c r="G204">
        <v>0.60000000000000009</v>
      </c>
      <c r="H204">
        <v>0.24</v>
      </c>
      <c r="I204">
        <v>0.60000000000000009</v>
      </c>
    </row>
    <row r="205" spans="1:9" x14ac:dyDescent="0.35">
      <c r="A205" t="s">
        <v>240</v>
      </c>
      <c r="B205">
        <v>0.60000000000000009</v>
      </c>
      <c r="C205">
        <v>0.24</v>
      </c>
      <c r="D205">
        <v>1</v>
      </c>
      <c r="E205">
        <v>0.3</v>
      </c>
      <c r="F205">
        <v>0.60000000000000009</v>
      </c>
      <c r="G205">
        <v>0.24</v>
      </c>
      <c r="H205">
        <v>0.60000000000000009</v>
      </c>
      <c r="I205">
        <v>0.24</v>
      </c>
    </row>
    <row r="206" spans="1:9" x14ac:dyDescent="0.35">
      <c r="A206" t="s">
        <v>242</v>
      </c>
      <c r="B206">
        <v>0.24</v>
      </c>
      <c r="C206">
        <v>0.60000000000000009</v>
      </c>
      <c r="D206">
        <v>0.3</v>
      </c>
      <c r="E206">
        <v>1</v>
      </c>
      <c r="F206">
        <v>0.24</v>
      </c>
      <c r="G206">
        <v>0.60000000000000009</v>
      </c>
      <c r="H206">
        <v>0.24</v>
      </c>
      <c r="I206">
        <v>0.60000000000000009</v>
      </c>
    </row>
    <row r="207" spans="1:9" x14ac:dyDescent="0.35">
      <c r="A207" t="s">
        <v>243</v>
      </c>
      <c r="B207">
        <v>0.60000000000000009</v>
      </c>
      <c r="C207">
        <v>0.24</v>
      </c>
      <c r="D207">
        <v>0.60000000000000009</v>
      </c>
      <c r="E207">
        <v>0.24</v>
      </c>
      <c r="F207">
        <v>1</v>
      </c>
      <c r="G207">
        <v>0.3</v>
      </c>
      <c r="H207">
        <v>0.60000000000000009</v>
      </c>
      <c r="I207">
        <v>0.24</v>
      </c>
    </row>
    <row r="208" spans="1:9" x14ac:dyDescent="0.35">
      <c r="A208" t="s">
        <v>245</v>
      </c>
      <c r="B208">
        <v>0.24</v>
      </c>
      <c r="C208">
        <v>0.60000000000000009</v>
      </c>
      <c r="D208">
        <v>0.24</v>
      </c>
      <c r="E208">
        <v>0.60000000000000009</v>
      </c>
      <c r="F208">
        <v>0.3</v>
      </c>
      <c r="G208">
        <v>1</v>
      </c>
      <c r="H208">
        <v>0.24</v>
      </c>
      <c r="I208">
        <v>0.60000000000000009</v>
      </c>
    </row>
    <row r="209" spans="1:9" x14ac:dyDescent="0.35">
      <c r="A209" t="s">
        <v>246</v>
      </c>
      <c r="B209">
        <v>0.60000000000000009</v>
      </c>
      <c r="C209">
        <v>0.24</v>
      </c>
      <c r="D209">
        <v>0.60000000000000009</v>
      </c>
      <c r="E209">
        <v>0.24</v>
      </c>
      <c r="F209">
        <v>0.60000000000000009</v>
      </c>
      <c r="G209">
        <v>0.24</v>
      </c>
      <c r="H209">
        <v>1</v>
      </c>
      <c r="I209">
        <v>0.3</v>
      </c>
    </row>
    <row r="210" spans="1:9" x14ac:dyDescent="0.35">
      <c r="A210" t="s">
        <v>248</v>
      </c>
      <c r="B210">
        <v>0.24</v>
      </c>
      <c r="C210">
        <v>0.60000000000000009</v>
      </c>
      <c r="D210">
        <v>0.24</v>
      </c>
      <c r="E210">
        <v>0.60000000000000009</v>
      </c>
      <c r="F210">
        <v>0.24</v>
      </c>
      <c r="G210">
        <v>0.60000000000000009</v>
      </c>
      <c r="H210">
        <v>0.3</v>
      </c>
      <c r="I210">
        <v>1</v>
      </c>
    </row>
    <row r="213" spans="1:9" x14ac:dyDescent="0.35">
      <c r="A213" t="s">
        <v>384</v>
      </c>
    </row>
    <row r="214" spans="1:9" x14ac:dyDescent="0.35">
      <c r="B214" t="s">
        <v>249</v>
      </c>
      <c r="C214" t="s">
        <v>252</v>
      </c>
      <c r="D214" t="s">
        <v>254</v>
      </c>
      <c r="E214" t="s">
        <v>256</v>
      </c>
    </row>
    <row r="215" spans="1:9" x14ac:dyDescent="0.35">
      <c r="A215" t="s">
        <v>249</v>
      </c>
      <c r="B215">
        <v>1</v>
      </c>
      <c r="C215">
        <v>0.60000000000000009</v>
      </c>
      <c r="D215">
        <v>0.60000000000000009</v>
      </c>
      <c r="E215">
        <v>0.60000000000000009</v>
      </c>
    </row>
    <row r="216" spans="1:9" x14ac:dyDescent="0.35">
      <c r="A216" t="s">
        <v>252</v>
      </c>
      <c r="B216">
        <v>0.60000000000000009</v>
      </c>
      <c r="C216">
        <v>1</v>
      </c>
      <c r="D216">
        <v>0.60000000000000009</v>
      </c>
      <c r="E216">
        <v>0.60000000000000009</v>
      </c>
    </row>
    <row r="217" spans="1:9" x14ac:dyDescent="0.35">
      <c r="A217" t="s">
        <v>254</v>
      </c>
      <c r="B217">
        <v>0.60000000000000009</v>
      </c>
      <c r="C217">
        <v>0.60000000000000009</v>
      </c>
      <c r="D217">
        <v>1</v>
      </c>
      <c r="E217">
        <v>0.60000000000000009</v>
      </c>
    </row>
    <row r="218" spans="1:9" x14ac:dyDescent="0.35">
      <c r="A218" t="s">
        <v>256</v>
      </c>
      <c r="B218">
        <v>0.60000000000000009</v>
      </c>
      <c r="C218">
        <v>0.60000000000000009</v>
      </c>
      <c r="D218">
        <v>0.60000000000000009</v>
      </c>
      <c r="E218">
        <v>1</v>
      </c>
    </row>
    <row r="221" spans="1:9" x14ac:dyDescent="0.35">
      <c r="A221" t="s">
        <v>385</v>
      </c>
    </row>
    <row r="222" spans="1:9" x14ac:dyDescent="0.35">
      <c r="B222" t="s">
        <v>258</v>
      </c>
      <c r="C222" t="s">
        <v>261</v>
      </c>
      <c r="D222" t="s">
        <v>263</v>
      </c>
      <c r="E222" t="s">
        <v>265</v>
      </c>
      <c r="F222" t="s">
        <v>266</v>
      </c>
      <c r="G222" t="s">
        <v>268</v>
      </c>
      <c r="H222" t="s">
        <v>269</v>
      </c>
      <c r="I222" t="s">
        <v>271</v>
      </c>
    </row>
    <row r="223" spans="1:9" x14ac:dyDescent="0.35">
      <c r="A223" t="s">
        <v>258</v>
      </c>
      <c r="B223">
        <v>1</v>
      </c>
      <c r="C223">
        <v>0.3</v>
      </c>
      <c r="D223">
        <v>0.60000000000000009</v>
      </c>
      <c r="E223">
        <v>0.24</v>
      </c>
      <c r="F223">
        <v>0.60000000000000009</v>
      </c>
      <c r="G223">
        <v>0.24</v>
      </c>
      <c r="H223">
        <v>0.60000000000000009</v>
      </c>
      <c r="I223">
        <v>0.24</v>
      </c>
    </row>
    <row r="224" spans="1:9" x14ac:dyDescent="0.35">
      <c r="A224" t="s">
        <v>261</v>
      </c>
      <c r="B224">
        <v>0.3</v>
      </c>
      <c r="C224">
        <v>1</v>
      </c>
      <c r="D224">
        <v>0.24</v>
      </c>
      <c r="E224">
        <v>0.60000000000000009</v>
      </c>
      <c r="F224">
        <v>0.24</v>
      </c>
      <c r="G224">
        <v>0.60000000000000009</v>
      </c>
      <c r="H224">
        <v>0.24</v>
      </c>
      <c r="I224">
        <v>0.60000000000000009</v>
      </c>
    </row>
    <row r="225" spans="1:9" x14ac:dyDescent="0.35">
      <c r="A225" t="s">
        <v>263</v>
      </c>
      <c r="B225">
        <v>0.60000000000000009</v>
      </c>
      <c r="C225">
        <v>0.24</v>
      </c>
      <c r="D225">
        <v>1</v>
      </c>
      <c r="E225">
        <v>0.3</v>
      </c>
      <c r="F225">
        <v>0.60000000000000009</v>
      </c>
      <c r="G225">
        <v>0.24</v>
      </c>
      <c r="H225">
        <v>0.60000000000000009</v>
      </c>
      <c r="I225">
        <v>0.24</v>
      </c>
    </row>
    <row r="226" spans="1:9" x14ac:dyDescent="0.35">
      <c r="A226" t="s">
        <v>265</v>
      </c>
      <c r="B226">
        <v>0.24</v>
      </c>
      <c r="C226">
        <v>0.60000000000000009</v>
      </c>
      <c r="D226">
        <v>0.3</v>
      </c>
      <c r="E226">
        <v>1</v>
      </c>
      <c r="F226">
        <v>0.24</v>
      </c>
      <c r="G226">
        <v>0.60000000000000009</v>
      </c>
      <c r="H226">
        <v>0.24</v>
      </c>
      <c r="I226">
        <v>0.60000000000000009</v>
      </c>
    </row>
    <row r="227" spans="1:9" x14ac:dyDescent="0.35">
      <c r="A227" t="s">
        <v>266</v>
      </c>
      <c r="B227">
        <v>0.60000000000000009</v>
      </c>
      <c r="C227">
        <v>0.24</v>
      </c>
      <c r="D227">
        <v>0.60000000000000009</v>
      </c>
      <c r="E227">
        <v>0.24</v>
      </c>
      <c r="F227">
        <v>1</v>
      </c>
      <c r="G227">
        <v>0.3</v>
      </c>
      <c r="H227">
        <v>0.60000000000000009</v>
      </c>
      <c r="I227">
        <v>0.24</v>
      </c>
    </row>
    <row r="228" spans="1:9" x14ac:dyDescent="0.35">
      <c r="A228" t="s">
        <v>268</v>
      </c>
      <c r="B228">
        <v>0.24</v>
      </c>
      <c r="C228">
        <v>0.60000000000000009</v>
      </c>
      <c r="D228">
        <v>0.24</v>
      </c>
      <c r="E228">
        <v>0.60000000000000009</v>
      </c>
      <c r="F228">
        <v>0.3</v>
      </c>
      <c r="G228">
        <v>1</v>
      </c>
      <c r="H228">
        <v>0.24</v>
      </c>
      <c r="I228">
        <v>0.60000000000000009</v>
      </c>
    </row>
    <row r="229" spans="1:9" x14ac:dyDescent="0.35">
      <c r="A229" t="s">
        <v>269</v>
      </c>
      <c r="B229">
        <v>0.60000000000000009</v>
      </c>
      <c r="C229">
        <v>0.24</v>
      </c>
      <c r="D229">
        <v>0.60000000000000009</v>
      </c>
      <c r="E229">
        <v>0.24</v>
      </c>
      <c r="F229">
        <v>0.60000000000000009</v>
      </c>
      <c r="G229">
        <v>0.24</v>
      </c>
      <c r="H229">
        <v>1</v>
      </c>
      <c r="I229">
        <v>0.3</v>
      </c>
    </row>
    <row r="230" spans="1:9" x14ac:dyDescent="0.35">
      <c r="A230" t="s">
        <v>271</v>
      </c>
      <c r="B230">
        <v>0.24</v>
      </c>
      <c r="C230">
        <v>0.60000000000000009</v>
      </c>
      <c r="D230">
        <v>0.24</v>
      </c>
      <c r="E230">
        <v>0.60000000000000009</v>
      </c>
      <c r="F230">
        <v>0.24</v>
      </c>
      <c r="G230">
        <v>0.60000000000000009</v>
      </c>
      <c r="H230">
        <v>0.3</v>
      </c>
      <c r="I230">
        <v>1</v>
      </c>
    </row>
    <row r="233" spans="1:9" x14ac:dyDescent="0.35">
      <c r="A233" t="s">
        <v>386</v>
      </c>
    </row>
    <row r="234" spans="1:9" x14ac:dyDescent="0.35">
      <c r="B234" t="s">
        <v>277</v>
      </c>
      <c r="C234" t="s">
        <v>279</v>
      </c>
      <c r="D234" t="s">
        <v>281</v>
      </c>
      <c r="E234" t="s">
        <v>283</v>
      </c>
      <c r="F234" t="s">
        <v>285</v>
      </c>
      <c r="G234" t="s">
        <v>287</v>
      </c>
      <c r="H234" t="s">
        <v>289</v>
      </c>
      <c r="I234" t="s">
        <v>291</v>
      </c>
    </row>
    <row r="235" spans="1:9" x14ac:dyDescent="0.35">
      <c r="A235" t="s">
        <v>277</v>
      </c>
      <c r="B235">
        <v>1</v>
      </c>
      <c r="C235">
        <v>0.1875</v>
      </c>
      <c r="D235">
        <v>0.1875</v>
      </c>
      <c r="E235">
        <v>0.1875</v>
      </c>
      <c r="F235">
        <v>0.1875</v>
      </c>
      <c r="G235">
        <v>0.1875</v>
      </c>
      <c r="H235">
        <v>0.1875</v>
      </c>
      <c r="I235">
        <v>0.1875</v>
      </c>
    </row>
    <row r="236" spans="1:9" x14ac:dyDescent="0.35">
      <c r="A236" t="s">
        <v>279</v>
      </c>
      <c r="B236">
        <v>0.1875</v>
      </c>
      <c r="C236">
        <v>1</v>
      </c>
      <c r="D236">
        <v>0.1875</v>
      </c>
      <c r="E236">
        <v>0.1875</v>
      </c>
      <c r="F236">
        <v>0.1875</v>
      </c>
      <c r="G236">
        <v>0.1875</v>
      </c>
      <c r="H236">
        <v>0.1875</v>
      </c>
      <c r="I236">
        <v>0.1875</v>
      </c>
    </row>
    <row r="237" spans="1:9" x14ac:dyDescent="0.35">
      <c r="A237" t="s">
        <v>281</v>
      </c>
      <c r="B237">
        <v>0.1875</v>
      </c>
      <c r="C237">
        <v>0.1875</v>
      </c>
      <c r="D237">
        <v>1</v>
      </c>
      <c r="E237">
        <v>0.1875</v>
      </c>
      <c r="F237">
        <v>0.1875</v>
      </c>
      <c r="G237">
        <v>0.1875</v>
      </c>
      <c r="H237">
        <v>0.1875</v>
      </c>
      <c r="I237">
        <v>0.1875</v>
      </c>
    </row>
    <row r="238" spans="1:9" x14ac:dyDescent="0.35">
      <c r="A238" t="s">
        <v>283</v>
      </c>
      <c r="B238">
        <v>0.1875</v>
      </c>
      <c r="C238">
        <v>0.1875</v>
      </c>
      <c r="D238">
        <v>0.1875</v>
      </c>
      <c r="E238">
        <v>1</v>
      </c>
      <c r="F238">
        <v>0.1875</v>
      </c>
      <c r="G238">
        <v>0.1875</v>
      </c>
      <c r="H238">
        <v>0.1875</v>
      </c>
      <c r="I238">
        <v>0.1875</v>
      </c>
    </row>
    <row r="239" spans="1:9" x14ac:dyDescent="0.35">
      <c r="A239" t="s">
        <v>285</v>
      </c>
      <c r="B239">
        <v>0.1875</v>
      </c>
      <c r="C239">
        <v>0.1875</v>
      </c>
      <c r="D239">
        <v>0.1875</v>
      </c>
      <c r="E239">
        <v>0.1875</v>
      </c>
      <c r="F239">
        <v>1</v>
      </c>
      <c r="G239">
        <v>0.1875</v>
      </c>
      <c r="H239">
        <v>0.1875</v>
      </c>
      <c r="I239">
        <v>0.1875</v>
      </c>
    </row>
    <row r="240" spans="1:9" x14ac:dyDescent="0.35">
      <c r="A240" t="s">
        <v>287</v>
      </c>
      <c r="B240">
        <v>0.1875</v>
      </c>
      <c r="C240">
        <v>0.1875</v>
      </c>
      <c r="D240">
        <v>0.1875</v>
      </c>
      <c r="E240">
        <v>0.1875</v>
      </c>
      <c r="F240">
        <v>0.1875</v>
      </c>
      <c r="G240">
        <v>1</v>
      </c>
      <c r="H240">
        <v>0.1875</v>
      </c>
      <c r="I240">
        <v>0.1875</v>
      </c>
    </row>
    <row r="241" spans="1:13" x14ac:dyDescent="0.35">
      <c r="A241" t="s">
        <v>289</v>
      </c>
      <c r="B241">
        <v>0.1875</v>
      </c>
      <c r="C241">
        <v>0.1875</v>
      </c>
      <c r="D241">
        <v>0.1875</v>
      </c>
      <c r="E241">
        <v>0.1875</v>
      </c>
      <c r="F241">
        <v>0.1875</v>
      </c>
      <c r="G241">
        <v>0.1875</v>
      </c>
      <c r="H241">
        <v>1</v>
      </c>
      <c r="I241">
        <v>0.1875</v>
      </c>
    </row>
    <row r="242" spans="1:13" x14ac:dyDescent="0.35">
      <c r="A242" t="s">
        <v>291</v>
      </c>
      <c r="B242">
        <v>0.1875</v>
      </c>
      <c r="C242">
        <v>0.1875</v>
      </c>
      <c r="D242">
        <v>0.1875</v>
      </c>
      <c r="E242">
        <v>0.1875</v>
      </c>
      <c r="F242">
        <v>0.1875</v>
      </c>
      <c r="G242">
        <v>0.1875</v>
      </c>
      <c r="H242">
        <v>0.1875</v>
      </c>
      <c r="I242">
        <v>1</v>
      </c>
    </row>
    <row r="245" spans="1:13" x14ac:dyDescent="0.35">
      <c r="A245" t="s">
        <v>387</v>
      </c>
    </row>
    <row r="246" spans="1:13" x14ac:dyDescent="0.35">
      <c r="B246" t="s">
        <v>301</v>
      </c>
      <c r="C246" t="s">
        <v>302</v>
      </c>
      <c r="D246" t="s">
        <v>303</v>
      </c>
      <c r="E246" t="s">
        <v>304</v>
      </c>
      <c r="F246" t="s">
        <v>305</v>
      </c>
      <c r="G246" t="s">
        <v>306</v>
      </c>
      <c r="H246" t="s">
        <v>307</v>
      </c>
      <c r="I246" t="s">
        <v>309</v>
      </c>
      <c r="J246" t="s">
        <v>311</v>
      </c>
      <c r="K246" t="s">
        <v>312</v>
      </c>
      <c r="L246" t="s">
        <v>313</v>
      </c>
      <c r="M246" t="s">
        <v>315</v>
      </c>
    </row>
    <row r="247" spans="1:13" x14ac:dyDescent="0.35">
      <c r="A247" t="s">
        <v>301</v>
      </c>
      <c r="B247">
        <v>1</v>
      </c>
      <c r="C247">
        <v>0.94</v>
      </c>
      <c r="D247">
        <v>0.82800000000000007</v>
      </c>
      <c r="E247">
        <v>0.62200000000000011</v>
      </c>
      <c r="F247">
        <v>0.53925000000000001</v>
      </c>
      <c r="G247">
        <v>0.42449999999999999</v>
      </c>
      <c r="H247">
        <v>0.3</v>
      </c>
      <c r="I247">
        <v>0.3</v>
      </c>
      <c r="J247">
        <v>0.3</v>
      </c>
      <c r="K247">
        <v>0.3</v>
      </c>
      <c r="L247">
        <v>0.3</v>
      </c>
      <c r="M247">
        <v>0</v>
      </c>
    </row>
    <row r="248" spans="1:13" x14ac:dyDescent="0.35">
      <c r="A248" t="s">
        <v>302</v>
      </c>
      <c r="B248">
        <v>0.94</v>
      </c>
      <c r="C248">
        <v>1</v>
      </c>
      <c r="D248">
        <v>0.94</v>
      </c>
      <c r="E248">
        <v>0.82800000000000007</v>
      </c>
      <c r="F248">
        <v>0.72199999999999998</v>
      </c>
      <c r="G248">
        <v>0.57225000000000004</v>
      </c>
      <c r="H248">
        <v>0.42449999999999999</v>
      </c>
      <c r="I248">
        <v>0.31424999999999997</v>
      </c>
      <c r="J248">
        <v>0.3</v>
      </c>
      <c r="K248">
        <v>0.3</v>
      </c>
      <c r="L248">
        <v>0.3</v>
      </c>
      <c r="M248">
        <v>0</v>
      </c>
    </row>
    <row r="249" spans="1:13" x14ac:dyDescent="0.35">
      <c r="A249" t="s">
        <v>303</v>
      </c>
      <c r="B249">
        <v>0.82800000000000007</v>
      </c>
      <c r="C249">
        <v>0.94</v>
      </c>
      <c r="D249">
        <v>1</v>
      </c>
      <c r="E249">
        <v>0.94</v>
      </c>
      <c r="F249">
        <v>0.8839999999999999</v>
      </c>
      <c r="G249">
        <v>0.77400000000000002</v>
      </c>
      <c r="H249">
        <v>0.57225000000000004</v>
      </c>
      <c r="I249">
        <v>0.49275000000000002</v>
      </c>
      <c r="J249">
        <v>0.42449999999999999</v>
      </c>
      <c r="K249">
        <v>0.31424999999999997</v>
      </c>
      <c r="L249">
        <v>0.3</v>
      </c>
      <c r="M249">
        <v>0</v>
      </c>
    </row>
    <row r="250" spans="1:13" x14ac:dyDescent="0.35">
      <c r="A250" t="s">
        <v>304</v>
      </c>
      <c r="B250">
        <v>0.62200000000000011</v>
      </c>
      <c r="C250">
        <v>0.82800000000000007</v>
      </c>
      <c r="D250">
        <v>0.94</v>
      </c>
      <c r="E250">
        <v>1</v>
      </c>
      <c r="F250">
        <v>0.97</v>
      </c>
      <c r="G250">
        <v>0.91199999999999992</v>
      </c>
      <c r="H250">
        <v>0.77400000000000002</v>
      </c>
      <c r="I250">
        <v>0.64599999999999991</v>
      </c>
      <c r="J250">
        <v>0.57225000000000004</v>
      </c>
      <c r="K250">
        <v>0.49275000000000002</v>
      </c>
      <c r="L250">
        <v>0.3</v>
      </c>
      <c r="M250">
        <v>0</v>
      </c>
    </row>
    <row r="251" spans="1:13" x14ac:dyDescent="0.35">
      <c r="A251" t="s">
        <v>305</v>
      </c>
      <c r="B251">
        <v>0.53925000000000001</v>
      </c>
      <c r="C251">
        <v>0.72199999999999998</v>
      </c>
      <c r="D251">
        <v>0.8839999999999999</v>
      </c>
      <c r="E251">
        <v>0.97</v>
      </c>
      <c r="F251">
        <v>1</v>
      </c>
      <c r="G251">
        <v>0.96</v>
      </c>
      <c r="H251">
        <v>0.8640000000000001</v>
      </c>
      <c r="I251">
        <v>0.77400000000000002</v>
      </c>
      <c r="J251">
        <v>0.68799999999999994</v>
      </c>
      <c r="K251">
        <v>0.57225000000000004</v>
      </c>
      <c r="L251">
        <v>0.3</v>
      </c>
      <c r="M251">
        <v>0</v>
      </c>
    </row>
    <row r="252" spans="1:13" x14ac:dyDescent="0.35">
      <c r="A252" t="s">
        <v>306</v>
      </c>
      <c r="B252">
        <v>0.42449999999999999</v>
      </c>
      <c r="C252">
        <v>0.57225000000000004</v>
      </c>
      <c r="D252">
        <v>0.77400000000000002</v>
      </c>
      <c r="E252">
        <v>0.91199999999999992</v>
      </c>
      <c r="F252">
        <v>0.96</v>
      </c>
      <c r="G252">
        <v>1</v>
      </c>
      <c r="H252">
        <v>0.94</v>
      </c>
      <c r="I252">
        <v>0.8839999999999999</v>
      </c>
      <c r="J252">
        <v>0.82800000000000007</v>
      </c>
      <c r="K252">
        <v>0.72199999999999998</v>
      </c>
      <c r="L252">
        <v>0.3</v>
      </c>
      <c r="M252">
        <v>0</v>
      </c>
    </row>
    <row r="253" spans="1:13" x14ac:dyDescent="0.35">
      <c r="A253" t="s">
        <v>307</v>
      </c>
      <c r="B253">
        <v>0.3</v>
      </c>
      <c r="C253">
        <v>0.42449999999999999</v>
      </c>
      <c r="D253">
        <v>0.57225000000000004</v>
      </c>
      <c r="E253">
        <v>0.77400000000000002</v>
      </c>
      <c r="F253">
        <v>0.8640000000000001</v>
      </c>
      <c r="G253">
        <v>0.94</v>
      </c>
      <c r="H253">
        <v>1</v>
      </c>
      <c r="I253">
        <v>0.97</v>
      </c>
      <c r="J253">
        <v>0.94</v>
      </c>
      <c r="K253">
        <v>0.8839999999999999</v>
      </c>
      <c r="L253">
        <v>0.3</v>
      </c>
      <c r="M253">
        <v>0</v>
      </c>
    </row>
    <row r="254" spans="1:13" x14ac:dyDescent="0.35">
      <c r="A254" t="s">
        <v>309</v>
      </c>
      <c r="B254">
        <v>0.3</v>
      </c>
      <c r="C254">
        <v>0.31424999999999997</v>
      </c>
      <c r="D254">
        <v>0.49275000000000002</v>
      </c>
      <c r="E254">
        <v>0.64599999999999991</v>
      </c>
      <c r="F254">
        <v>0.77400000000000002</v>
      </c>
      <c r="G254">
        <v>0.8839999999999999</v>
      </c>
      <c r="H254">
        <v>0.97</v>
      </c>
      <c r="I254">
        <v>1</v>
      </c>
      <c r="J254">
        <v>0.98</v>
      </c>
      <c r="K254">
        <v>0.94</v>
      </c>
      <c r="L254">
        <v>0.3</v>
      </c>
      <c r="M254">
        <v>0</v>
      </c>
    </row>
    <row r="255" spans="1:13" x14ac:dyDescent="0.35">
      <c r="A255" t="s">
        <v>311</v>
      </c>
      <c r="B255">
        <v>0.3</v>
      </c>
      <c r="C255">
        <v>0.3</v>
      </c>
      <c r="D255">
        <v>0.42449999999999999</v>
      </c>
      <c r="E255">
        <v>0.57225000000000004</v>
      </c>
      <c r="F255">
        <v>0.68799999999999994</v>
      </c>
      <c r="G255">
        <v>0.82800000000000007</v>
      </c>
      <c r="H255">
        <v>0.94</v>
      </c>
      <c r="I255">
        <v>0.98</v>
      </c>
      <c r="J255">
        <v>1</v>
      </c>
      <c r="K255">
        <v>0.97</v>
      </c>
      <c r="L255">
        <v>0.3</v>
      </c>
      <c r="M255">
        <v>0</v>
      </c>
    </row>
    <row r="256" spans="1:13" x14ac:dyDescent="0.35">
      <c r="A256" t="s">
        <v>312</v>
      </c>
      <c r="B256">
        <v>0.3</v>
      </c>
      <c r="C256">
        <v>0.3</v>
      </c>
      <c r="D256">
        <v>0.31424999999999997</v>
      </c>
      <c r="E256">
        <v>0.49275000000000002</v>
      </c>
      <c r="F256">
        <v>0.57225000000000004</v>
      </c>
      <c r="G256">
        <v>0.72199999999999998</v>
      </c>
      <c r="H256">
        <v>0.8839999999999999</v>
      </c>
      <c r="I256">
        <v>0.94</v>
      </c>
      <c r="J256">
        <v>0.97</v>
      </c>
      <c r="K256">
        <v>1</v>
      </c>
      <c r="L256">
        <v>0.3</v>
      </c>
      <c r="M256">
        <v>0</v>
      </c>
    </row>
    <row r="257" spans="1:13" x14ac:dyDescent="0.35">
      <c r="A257" t="s">
        <v>313</v>
      </c>
      <c r="B257">
        <v>0.3</v>
      </c>
      <c r="C257">
        <v>0.3</v>
      </c>
      <c r="D257">
        <v>0.3</v>
      </c>
      <c r="E257">
        <v>0.3</v>
      </c>
      <c r="F257">
        <v>0.3</v>
      </c>
      <c r="G257">
        <v>0.3</v>
      </c>
      <c r="H257">
        <v>0.3</v>
      </c>
      <c r="I257">
        <v>0.3</v>
      </c>
      <c r="J257">
        <v>0.3</v>
      </c>
      <c r="K257">
        <v>0.3</v>
      </c>
      <c r="L257">
        <v>1</v>
      </c>
      <c r="M257">
        <v>0</v>
      </c>
    </row>
    <row r="258" spans="1:13" x14ac:dyDescent="0.35">
      <c r="A258" t="s">
        <v>315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1</v>
      </c>
    </row>
    <row r="261" spans="1:13" x14ac:dyDescent="0.35">
      <c r="A261" t="s">
        <v>388</v>
      </c>
    </row>
    <row r="262" spans="1:13" x14ac:dyDescent="0.35">
      <c r="B262" t="s">
        <v>318</v>
      </c>
      <c r="C262" t="s">
        <v>320</v>
      </c>
      <c r="D262" t="s">
        <v>321</v>
      </c>
      <c r="E262" t="s">
        <v>323</v>
      </c>
      <c r="F262" t="s">
        <v>324</v>
      </c>
      <c r="G262" t="s">
        <v>325</v>
      </c>
      <c r="H262" t="s">
        <v>326</v>
      </c>
    </row>
    <row r="263" spans="1:13" x14ac:dyDescent="0.35">
      <c r="A263" t="s">
        <v>318</v>
      </c>
      <c r="B263">
        <v>1</v>
      </c>
      <c r="C263">
        <v>0.94</v>
      </c>
      <c r="D263">
        <v>0.82800000000000007</v>
      </c>
      <c r="E263">
        <v>0.62200000000000011</v>
      </c>
      <c r="F263">
        <v>0.53925000000000001</v>
      </c>
      <c r="G263">
        <v>0.42449999999999999</v>
      </c>
      <c r="H263">
        <v>0.3</v>
      </c>
    </row>
    <row r="264" spans="1:13" x14ac:dyDescent="0.35">
      <c r="A264" t="s">
        <v>320</v>
      </c>
      <c r="B264">
        <v>0.94</v>
      </c>
      <c r="C264">
        <v>1</v>
      </c>
      <c r="D264">
        <v>0.94</v>
      </c>
      <c r="E264">
        <v>0.82800000000000007</v>
      </c>
      <c r="F264">
        <v>0.72199999999999998</v>
      </c>
      <c r="G264">
        <v>0.57225000000000004</v>
      </c>
      <c r="H264">
        <v>0.42449999999999999</v>
      </c>
    </row>
    <row r="265" spans="1:13" x14ac:dyDescent="0.35">
      <c r="A265" t="s">
        <v>321</v>
      </c>
      <c r="B265">
        <v>0.82800000000000007</v>
      </c>
      <c r="C265">
        <v>0.94</v>
      </c>
      <c r="D265">
        <v>1</v>
      </c>
      <c r="E265">
        <v>0.94</v>
      </c>
      <c r="F265">
        <v>0.8839999999999999</v>
      </c>
      <c r="G265">
        <v>0.77400000000000002</v>
      </c>
      <c r="H265">
        <v>0.57225000000000004</v>
      </c>
    </row>
    <row r="266" spans="1:13" x14ac:dyDescent="0.35">
      <c r="A266" t="s">
        <v>323</v>
      </c>
      <c r="B266">
        <v>0.62200000000000011</v>
      </c>
      <c r="C266">
        <v>0.82800000000000007</v>
      </c>
      <c r="D266">
        <v>0.94</v>
      </c>
      <c r="E266">
        <v>1</v>
      </c>
      <c r="F266">
        <v>0.97</v>
      </c>
      <c r="G266">
        <v>0.91199999999999992</v>
      </c>
      <c r="H266">
        <v>0.77400000000000002</v>
      </c>
    </row>
    <row r="267" spans="1:13" x14ac:dyDescent="0.35">
      <c r="A267" t="s">
        <v>324</v>
      </c>
      <c r="B267">
        <v>0.53925000000000001</v>
      </c>
      <c r="C267">
        <v>0.72199999999999998</v>
      </c>
      <c r="D267">
        <v>0.8839999999999999</v>
      </c>
      <c r="E267">
        <v>0.97</v>
      </c>
      <c r="F267">
        <v>1</v>
      </c>
      <c r="G267">
        <v>0.96</v>
      </c>
      <c r="H267">
        <v>0.8640000000000001</v>
      </c>
    </row>
    <row r="268" spans="1:13" x14ac:dyDescent="0.35">
      <c r="A268" t="s">
        <v>325</v>
      </c>
      <c r="B268">
        <v>0.42449999999999999</v>
      </c>
      <c r="C268">
        <v>0.57225000000000004</v>
      </c>
      <c r="D268">
        <v>0.77400000000000002</v>
      </c>
      <c r="E268">
        <v>0.91199999999999992</v>
      </c>
      <c r="F268">
        <v>0.96</v>
      </c>
      <c r="G268">
        <v>1</v>
      </c>
      <c r="H268">
        <v>0.94</v>
      </c>
    </row>
    <row r="269" spans="1:13" x14ac:dyDescent="0.35">
      <c r="A269" t="s">
        <v>326</v>
      </c>
      <c r="B269">
        <v>0.3</v>
      </c>
      <c r="C269">
        <v>0.42449999999999999</v>
      </c>
      <c r="D269">
        <v>0.57225000000000004</v>
      </c>
      <c r="E269">
        <v>0.77400000000000002</v>
      </c>
      <c r="F269">
        <v>0.8640000000000001</v>
      </c>
      <c r="G269">
        <v>0.94</v>
      </c>
      <c r="H269">
        <v>1</v>
      </c>
    </row>
    <row r="272" spans="1:13" x14ac:dyDescent="0.35">
      <c r="A272" t="s">
        <v>389</v>
      </c>
    </row>
    <row r="273" spans="1:9" x14ac:dyDescent="0.35">
      <c r="B273" t="s">
        <v>328</v>
      </c>
      <c r="C273" t="s">
        <v>329</v>
      </c>
      <c r="D273" t="s">
        <v>331</v>
      </c>
    </row>
    <row r="274" spans="1:9" x14ac:dyDescent="0.35">
      <c r="A274" t="s">
        <v>328</v>
      </c>
      <c r="B274">
        <v>1</v>
      </c>
      <c r="C274">
        <v>0.98009966749833621</v>
      </c>
      <c r="D274">
        <v>0.90245884900142803</v>
      </c>
    </row>
    <row r="275" spans="1:9" x14ac:dyDescent="0.35">
      <c r="A275" t="s">
        <v>329</v>
      </c>
      <c r="B275">
        <v>0.98009966749833621</v>
      </c>
      <c r="C275">
        <v>1</v>
      </c>
      <c r="D275">
        <v>0.96039734661351051</v>
      </c>
    </row>
    <row r="276" spans="1:9" x14ac:dyDescent="0.35">
      <c r="A276" t="s">
        <v>331</v>
      </c>
      <c r="B276">
        <v>0.90245884900142803</v>
      </c>
      <c r="C276">
        <v>0.96039734661351051</v>
      </c>
      <c r="D276">
        <v>1</v>
      </c>
    </row>
    <row r="279" spans="1:9" x14ac:dyDescent="0.35">
      <c r="A279" t="s">
        <v>390</v>
      </c>
    </row>
    <row r="280" spans="1:9" x14ac:dyDescent="0.35">
      <c r="B280" t="s">
        <v>332</v>
      </c>
      <c r="C280" t="s">
        <v>333</v>
      </c>
      <c r="D280" t="s">
        <v>334</v>
      </c>
      <c r="E280" t="s">
        <v>335</v>
      </c>
      <c r="F280" t="s">
        <v>336</v>
      </c>
      <c r="G280" t="s">
        <v>337</v>
      </c>
      <c r="H280" t="s">
        <v>338</v>
      </c>
      <c r="I280" t="s">
        <v>339</v>
      </c>
    </row>
    <row r="281" spans="1:9" x14ac:dyDescent="0.35">
      <c r="A281" t="s">
        <v>332</v>
      </c>
      <c r="B281">
        <v>1</v>
      </c>
      <c r="C281">
        <v>0.96039734661351051</v>
      </c>
      <c r="D281">
        <v>0.94089106709701631</v>
      </c>
      <c r="E281">
        <v>0.96039734661351051</v>
      </c>
      <c r="F281">
        <v>0.92157887830464613</v>
      </c>
      <c r="G281">
        <v>0.90245884900142803</v>
      </c>
      <c r="H281">
        <v>0.92157887830464635</v>
      </c>
      <c r="I281">
        <v>0.88352906716849722</v>
      </c>
    </row>
    <row r="282" spans="1:9" x14ac:dyDescent="0.35">
      <c r="A282" t="s">
        <v>333</v>
      </c>
      <c r="B282">
        <v>0.96039734661351051</v>
      </c>
      <c r="C282">
        <v>1</v>
      </c>
      <c r="D282">
        <v>0.86478763981189632</v>
      </c>
      <c r="E282">
        <v>0.92157887830464613</v>
      </c>
      <c r="F282">
        <v>0.96039734661351051</v>
      </c>
      <c r="G282">
        <v>0.82786237054245637</v>
      </c>
      <c r="H282">
        <v>0.88352906716849722</v>
      </c>
      <c r="I282">
        <v>0.92157887830464635</v>
      </c>
    </row>
    <row r="283" spans="1:9" x14ac:dyDescent="0.35">
      <c r="A283" t="s">
        <v>334</v>
      </c>
      <c r="B283">
        <v>0.94089106709701631</v>
      </c>
      <c r="C283">
        <v>0.86478763981189632</v>
      </c>
      <c r="D283">
        <v>1</v>
      </c>
      <c r="E283">
        <v>0.98009966749833621</v>
      </c>
      <c r="F283">
        <v>0.90245884900142803</v>
      </c>
      <c r="G283">
        <v>0.98671101251006887</v>
      </c>
      <c r="H283">
        <v>0.96694290764323521</v>
      </c>
      <c r="I283">
        <v>0.88981797307918375</v>
      </c>
    </row>
    <row r="284" spans="1:9" x14ac:dyDescent="0.35">
      <c r="A284" t="s">
        <v>335</v>
      </c>
      <c r="B284">
        <v>0.96039734661351051</v>
      </c>
      <c r="C284">
        <v>0.92157887830464613</v>
      </c>
      <c r="D284">
        <v>0.98009966749833621</v>
      </c>
      <c r="E284">
        <v>1</v>
      </c>
      <c r="F284">
        <v>0.96039734661351051</v>
      </c>
      <c r="G284">
        <v>0.96694290764323521</v>
      </c>
      <c r="H284">
        <v>0.98671101251006887</v>
      </c>
      <c r="I284">
        <v>0.94737149870629001</v>
      </c>
    </row>
    <row r="285" spans="1:9" x14ac:dyDescent="0.35">
      <c r="A285" t="s">
        <v>336</v>
      </c>
      <c r="B285">
        <v>0.92157887830464613</v>
      </c>
      <c r="C285">
        <v>0.96039734661351051</v>
      </c>
      <c r="D285">
        <v>0.90245884900142803</v>
      </c>
      <c r="E285">
        <v>0.96039734661351051</v>
      </c>
      <c r="F285">
        <v>1</v>
      </c>
      <c r="G285">
        <v>0.88981797307918375</v>
      </c>
      <c r="H285">
        <v>0.94737149870629001</v>
      </c>
      <c r="I285">
        <v>0.98671101251006887</v>
      </c>
    </row>
    <row r="286" spans="1:9" x14ac:dyDescent="0.35">
      <c r="A286" t="s">
        <v>337</v>
      </c>
      <c r="B286">
        <v>0.90245884900142803</v>
      </c>
      <c r="C286">
        <v>0.82786237054245637</v>
      </c>
      <c r="D286">
        <v>0.98671101251006887</v>
      </c>
      <c r="E286">
        <v>0.96694290764323521</v>
      </c>
      <c r="F286">
        <v>0.88981797307918375</v>
      </c>
      <c r="G286">
        <v>1</v>
      </c>
      <c r="H286">
        <v>0.98009966749833621</v>
      </c>
      <c r="I286">
        <v>0.90245884900142803</v>
      </c>
    </row>
    <row r="287" spans="1:9" x14ac:dyDescent="0.35">
      <c r="A287" t="s">
        <v>338</v>
      </c>
      <c r="B287">
        <v>0.92157887830464635</v>
      </c>
      <c r="C287">
        <v>0.88352906716849722</v>
      </c>
      <c r="D287">
        <v>0.96694290764323521</v>
      </c>
      <c r="E287">
        <v>0.98671101251006887</v>
      </c>
      <c r="F287">
        <v>0.94737149870629001</v>
      </c>
      <c r="G287">
        <v>0.98009966749833621</v>
      </c>
      <c r="H287">
        <v>1</v>
      </c>
      <c r="I287">
        <v>0.96039734661351051</v>
      </c>
    </row>
    <row r="288" spans="1:9" x14ac:dyDescent="0.35">
      <c r="A288" t="s">
        <v>339</v>
      </c>
      <c r="B288">
        <v>0.88352906716849722</v>
      </c>
      <c r="C288">
        <v>0.92157887830464635</v>
      </c>
      <c r="D288">
        <v>0.88981797307918375</v>
      </c>
      <c r="E288">
        <v>0.94737149870629001</v>
      </c>
      <c r="F288">
        <v>0.98671101251006887</v>
      </c>
      <c r="G288">
        <v>0.90245884900142803</v>
      </c>
      <c r="H288">
        <v>0.96039734661351051</v>
      </c>
      <c r="I288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I41"/>
  <sheetViews>
    <sheetView workbookViewId="0">
      <selection sqref="A1:I41"/>
    </sheetView>
  </sheetViews>
  <sheetFormatPr defaultColWidth="17.7265625" defaultRowHeight="14.5" x14ac:dyDescent="0.35"/>
  <cols>
    <col min="6" max="6" width="17.7265625" style="3"/>
    <col min="7" max="7" width="26.26953125" style="3" customWidth="1"/>
  </cols>
  <sheetData>
    <row r="1" spans="1:9" x14ac:dyDescent="0.35">
      <c r="A1" s="1" t="s">
        <v>12</v>
      </c>
      <c r="B1" s="1" t="s">
        <v>13</v>
      </c>
      <c r="C1" s="1" t="s">
        <v>14</v>
      </c>
      <c r="D1" s="1" t="s">
        <v>358</v>
      </c>
      <c r="E1" s="1" t="s">
        <v>22</v>
      </c>
      <c r="F1" s="2" t="s">
        <v>359</v>
      </c>
      <c r="G1" s="2" t="s">
        <v>360</v>
      </c>
      <c r="H1" s="1" t="s">
        <v>361</v>
      </c>
      <c r="I1" s="1" t="s">
        <v>362</v>
      </c>
    </row>
    <row r="2" spans="1:9" hidden="1" x14ac:dyDescent="0.35">
      <c r="A2" t="s">
        <v>23</v>
      </c>
      <c r="B2" t="s">
        <v>24</v>
      </c>
      <c r="C2">
        <v>2</v>
      </c>
      <c r="D2">
        <v>5</v>
      </c>
      <c r="E2">
        <v>15</v>
      </c>
      <c r="F2">
        <v>3891580</v>
      </c>
      <c r="G2">
        <v>3819551.016127992</v>
      </c>
      <c r="H2" t="s">
        <v>363</v>
      </c>
      <c r="I2" t="s">
        <v>391</v>
      </c>
    </row>
    <row r="3" spans="1:9" hidden="1" x14ac:dyDescent="0.35">
      <c r="A3" t="s">
        <v>23</v>
      </c>
      <c r="B3" t="s">
        <v>24</v>
      </c>
      <c r="C3">
        <v>5</v>
      </c>
      <c r="D3">
        <v>5</v>
      </c>
      <c r="E3">
        <v>15</v>
      </c>
      <c r="F3">
        <v>3152020</v>
      </c>
      <c r="G3">
        <v>2652513.0703240652</v>
      </c>
      <c r="H3" t="s">
        <v>363</v>
      </c>
      <c r="I3" t="s">
        <v>391</v>
      </c>
    </row>
    <row r="4" spans="1:9" hidden="1" x14ac:dyDescent="0.35">
      <c r="A4" t="s">
        <v>23</v>
      </c>
      <c r="B4" t="s">
        <v>24</v>
      </c>
      <c r="C4">
        <v>6</v>
      </c>
      <c r="D4">
        <v>1</v>
      </c>
      <c r="E4">
        <v>3</v>
      </c>
      <c r="F4">
        <v>1619527.5</v>
      </c>
      <c r="G4">
        <v>1619527.5</v>
      </c>
      <c r="H4" t="s">
        <v>363</v>
      </c>
      <c r="I4" t="s">
        <v>391</v>
      </c>
    </row>
    <row r="5" spans="1:9" hidden="1" x14ac:dyDescent="0.35">
      <c r="A5" t="s">
        <v>23</v>
      </c>
      <c r="B5" t="s">
        <v>24</v>
      </c>
      <c r="C5">
        <v>7</v>
      </c>
      <c r="D5">
        <v>2</v>
      </c>
      <c r="E5">
        <v>6</v>
      </c>
      <c r="F5">
        <v>1883930</v>
      </c>
      <c r="G5">
        <v>1737960.9035360951</v>
      </c>
      <c r="H5" t="s">
        <v>363</v>
      </c>
      <c r="I5" t="s">
        <v>391</v>
      </c>
    </row>
    <row r="6" spans="1:9" hidden="1" x14ac:dyDescent="0.35">
      <c r="A6" t="s">
        <v>23</v>
      </c>
      <c r="B6" t="s">
        <v>24</v>
      </c>
      <c r="C6">
        <v>8</v>
      </c>
      <c r="D6">
        <v>6</v>
      </c>
      <c r="E6">
        <v>18</v>
      </c>
      <c r="F6">
        <v>3701880</v>
      </c>
      <c r="G6">
        <v>2760915.5651253168</v>
      </c>
      <c r="H6" t="s">
        <v>363</v>
      </c>
      <c r="I6" t="s">
        <v>391</v>
      </c>
    </row>
    <row r="7" spans="1:9" hidden="1" x14ac:dyDescent="0.35">
      <c r="A7" t="s">
        <v>23</v>
      </c>
      <c r="B7" t="s">
        <v>24</v>
      </c>
      <c r="C7">
        <v>9</v>
      </c>
      <c r="D7">
        <v>2</v>
      </c>
      <c r="E7">
        <v>6</v>
      </c>
      <c r="F7">
        <v>704575</v>
      </c>
      <c r="G7">
        <v>560498.29393139109</v>
      </c>
      <c r="H7" t="s">
        <v>363</v>
      </c>
      <c r="I7" t="s">
        <v>391</v>
      </c>
    </row>
    <row r="8" spans="1:9" hidden="1" x14ac:dyDescent="0.35">
      <c r="A8" t="s">
        <v>23</v>
      </c>
      <c r="B8" t="s">
        <v>24</v>
      </c>
      <c r="C8">
        <v>10</v>
      </c>
      <c r="D8">
        <v>4</v>
      </c>
      <c r="E8">
        <v>12</v>
      </c>
      <c r="F8">
        <v>1605572.5</v>
      </c>
      <c r="G8">
        <v>1203332.3313246639</v>
      </c>
      <c r="H8" t="s">
        <v>363</v>
      </c>
      <c r="I8" t="s">
        <v>391</v>
      </c>
    </row>
    <row r="9" spans="1:9" hidden="1" x14ac:dyDescent="0.35">
      <c r="A9" t="s">
        <v>23</v>
      </c>
      <c r="B9" t="s">
        <v>51</v>
      </c>
      <c r="C9">
        <v>3</v>
      </c>
      <c r="D9">
        <v>6</v>
      </c>
      <c r="E9">
        <v>6</v>
      </c>
      <c r="F9">
        <v>-136195.23068475991</v>
      </c>
      <c r="G9">
        <v>100601.245382115</v>
      </c>
      <c r="H9" t="s">
        <v>363</v>
      </c>
      <c r="I9" t="s">
        <v>391</v>
      </c>
    </row>
    <row r="10" spans="1:9" hidden="1" x14ac:dyDescent="0.35">
      <c r="A10" t="s">
        <v>23</v>
      </c>
      <c r="B10" t="s">
        <v>51</v>
      </c>
      <c r="C10">
        <v>4</v>
      </c>
      <c r="D10">
        <v>18</v>
      </c>
      <c r="E10">
        <v>18</v>
      </c>
      <c r="F10">
        <v>-328663.75158985239</v>
      </c>
      <c r="G10">
        <v>208744.73071933899</v>
      </c>
      <c r="H10" t="s">
        <v>363</v>
      </c>
      <c r="I10" t="s">
        <v>391</v>
      </c>
    </row>
    <row r="11" spans="1:9" hidden="1" x14ac:dyDescent="0.35">
      <c r="A11" t="s">
        <v>23</v>
      </c>
      <c r="B11" t="s">
        <v>51</v>
      </c>
      <c r="C11">
        <v>5</v>
      </c>
      <c r="D11">
        <v>12</v>
      </c>
      <c r="E11">
        <v>12</v>
      </c>
      <c r="F11">
        <v>-312046.1054888221</v>
      </c>
      <c r="G11">
        <v>219632.0469047041</v>
      </c>
      <c r="H11" t="s">
        <v>363</v>
      </c>
      <c r="I11" t="s">
        <v>391</v>
      </c>
    </row>
    <row r="12" spans="1:9" hidden="1" x14ac:dyDescent="0.35">
      <c r="A12" t="s">
        <v>23</v>
      </c>
      <c r="B12" t="s">
        <v>51</v>
      </c>
      <c r="C12">
        <v>6</v>
      </c>
      <c r="D12">
        <v>21</v>
      </c>
      <c r="E12">
        <v>21</v>
      </c>
      <c r="F12">
        <v>-269546.72280388762</v>
      </c>
      <c r="G12">
        <v>169067.9766980015</v>
      </c>
      <c r="H12" t="s">
        <v>363</v>
      </c>
      <c r="I12" t="s">
        <v>391</v>
      </c>
    </row>
    <row r="13" spans="1:9" hidden="1" x14ac:dyDescent="0.35">
      <c r="A13" t="s">
        <v>23</v>
      </c>
      <c r="B13" t="s">
        <v>51</v>
      </c>
      <c r="C13">
        <v>7</v>
      </c>
      <c r="D13">
        <v>9</v>
      </c>
      <c r="E13">
        <v>9</v>
      </c>
      <c r="F13">
        <v>-81289.082937842919</v>
      </c>
      <c r="G13">
        <v>58502.637847386897</v>
      </c>
      <c r="H13" t="s">
        <v>363</v>
      </c>
      <c r="I13" t="s">
        <v>391</v>
      </c>
    </row>
    <row r="14" spans="1:9" x14ac:dyDescent="0.35">
      <c r="A14" t="s">
        <v>23</v>
      </c>
      <c r="B14" t="s">
        <v>158</v>
      </c>
      <c r="C14">
        <v>1</v>
      </c>
      <c r="D14">
        <v>3</v>
      </c>
      <c r="E14">
        <v>3</v>
      </c>
      <c r="F14">
        <v>-846905.66391080618</v>
      </c>
      <c r="G14">
        <v>827212.87982857914</v>
      </c>
      <c r="H14" t="s">
        <v>363</v>
      </c>
      <c r="I14" t="s">
        <v>391</v>
      </c>
    </row>
    <row r="15" spans="1:9" x14ac:dyDescent="0.35">
      <c r="A15" t="s">
        <v>23</v>
      </c>
      <c r="B15" t="s">
        <v>158</v>
      </c>
      <c r="C15">
        <v>4</v>
      </c>
      <c r="D15">
        <v>10</v>
      </c>
      <c r="E15">
        <v>10</v>
      </c>
      <c r="F15">
        <v>-13674118.372000759</v>
      </c>
      <c r="G15">
        <v>12446586.08301197</v>
      </c>
      <c r="H15" t="s">
        <v>363</v>
      </c>
      <c r="I15" t="s">
        <v>391</v>
      </c>
    </row>
    <row r="16" spans="1:9" x14ac:dyDescent="0.35">
      <c r="A16" t="s">
        <v>23</v>
      </c>
      <c r="B16" t="s">
        <v>158</v>
      </c>
      <c r="C16">
        <v>6</v>
      </c>
      <c r="D16">
        <v>6</v>
      </c>
      <c r="E16">
        <v>6</v>
      </c>
      <c r="F16">
        <v>-6945159.0182232866</v>
      </c>
      <c r="G16">
        <v>5664584.0482021496</v>
      </c>
      <c r="H16" t="s">
        <v>363</v>
      </c>
      <c r="I16" t="s">
        <v>391</v>
      </c>
    </row>
    <row r="17" spans="1:9" x14ac:dyDescent="0.35">
      <c r="A17" t="s">
        <v>23</v>
      </c>
      <c r="B17" t="s">
        <v>158</v>
      </c>
      <c r="C17">
        <v>7</v>
      </c>
      <c r="D17">
        <v>4</v>
      </c>
      <c r="E17">
        <v>4</v>
      </c>
      <c r="F17">
        <v>-1069821.414162219</v>
      </c>
      <c r="G17">
        <v>1011005.813336056</v>
      </c>
      <c r="H17" t="s">
        <v>363</v>
      </c>
      <c r="I17" t="s">
        <v>391</v>
      </c>
    </row>
    <row r="18" spans="1:9" x14ac:dyDescent="0.35">
      <c r="A18" t="s">
        <v>23</v>
      </c>
      <c r="B18" t="s">
        <v>158</v>
      </c>
      <c r="C18">
        <v>8</v>
      </c>
      <c r="D18">
        <v>4</v>
      </c>
      <c r="E18">
        <v>4</v>
      </c>
      <c r="F18">
        <v>-4707523.9205783606</v>
      </c>
      <c r="G18">
        <v>4403886.5890994482</v>
      </c>
      <c r="H18" t="s">
        <v>363</v>
      </c>
      <c r="I18" t="s">
        <v>391</v>
      </c>
    </row>
    <row r="19" spans="1:9" x14ac:dyDescent="0.35">
      <c r="A19" t="s">
        <v>23</v>
      </c>
      <c r="B19" t="s">
        <v>158</v>
      </c>
      <c r="C19">
        <v>9</v>
      </c>
      <c r="D19">
        <v>6</v>
      </c>
      <c r="E19">
        <v>6</v>
      </c>
      <c r="F19">
        <v>-199887.93445585761</v>
      </c>
      <c r="G19">
        <v>269019.98167045682</v>
      </c>
      <c r="H19" t="s">
        <v>363</v>
      </c>
      <c r="I19" t="s">
        <v>391</v>
      </c>
    </row>
    <row r="20" spans="1:9" x14ac:dyDescent="0.35">
      <c r="A20" t="s">
        <v>23</v>
      </c>
      <c r="B20" t="s">
        <v>158</v>
      </c>
      <c r="C20">
        <v>12</v>
      </c>
      <c r="D20">
        <v>5</v>
      </c>
      <c r="E20">
        <v>5</v>
      </c>
      <c r="F20">
        <v>-1950821.595627815</v>
      </c>
      <c r="G20">
        <v>1846960.7497018371</v>
      </c>
      <c r="H20" t="s">
        <v>363</v>
      </c>
      <c r="I20" t="s">
        <v>391</v>
      </c>
    </row>
    <row r="21" spans="1:9" x14ac:dyDescent="0.35">
      <c r="A21" t="s">
        <v>23</v>
      </c>
      <c r="B21" t="s">
        <v>158</v>
      </c>
      <c r="C21">
        <v>14</v>
      </c>
      <c r="D21">
        <v>8</v>
      </c>
      <c r="E21">
        <v>8</v>
      </c>
      <c r="F21">
        <v>-1170403.24422</v>
      </c>
      <c r="G21">
        <v>969551.75578451122</v>
      </c>
      <c r="H21" t="s">
        <v>363</v>
      </c>
      <c r="I21" t="s">
        <v>391</v>
      </c>
    </row>
    <row r="22" spans="1:9" x14ac:dyDescent="0.35">
      <c r="A22" t="s">
        <v>23</v>
      </c>
      <c r="B22" t="s">
        <v>158</v>
      </c>
      <c r="C22">
        <v>15</v>
      </c>
      <c r="D22">
        <v>4</v>
      </c>
      <c r="E22">
        <v>4</v>
      </c>
      <c r="F22">
        <v>196432.42565835829</v>
      </c>
      <c r="G22">
        <v>185600.87030419949</v>
      </c>
      <c r="H22" t="s">
        <v>363</v>
      </c>
      <c r="I22" t="s">
        <v>391</v>
      </c>
    </row>
    <row r="23" spans="1:9" x14ac:dyDescent="0.35">
      <c r="A23" t="s">
        <v>23</v>
      </c>
      <c r="B23" t="s">
        <v>158</v>
      </c>
      <c r="C23">
        <v>16</v>
      </c>
      <c r="D23">
        <v>8</v>
      </c>
      <c r="E23">
        <v>8</v>
      </c>
      <c r="F23">
        <v>-3663377.1435123868</v>
      </c>
      <c r="G23">
        <v>2992593.541915779</v>
      </c>
      <c r="H23" t="s">
        <v>363</v>
      </c>
      <c r="I23" t="s">
        <v>391</v>
      </c>
    </row>
    <row r="24" spans="1:9" hidden="1" x14ac:dyDescent="0.35">
      <c r="A24" t="s">
        <v>23</v>
      </c>
      <c r="B24" t="s">
        <v>272</v>
      </c>
      <c r="C24">
        <v>5</v>
      </c>
      <c r="D24">
        <v>1</v>
      </c>
      <c r="E24">
        <v>1</v>
      </c>
      <c r="F24">
        <v>774226.32299999997</v>
      </c>
      <c r="G24">
        <v>774226.32299999997</v>
      </c>
      <c r="H24" t="s">
        <v>363</v>
      </c>
      <c r="I24" t="s">
        <v>391</v>
      </c>
    </row>
    <row r="25" spans="1:9" hidden="1" x14ac:dyDescent="0.35">
      <c r="A25" t="s">
        <v>23</v>
      </c>
      <c r="B25" t="s">
        <v>272</v>
      </c>
      <c r="C25">
        <v>7</v>
      </c>
      <c r="D25">
        <v>1</v>
      </c>
      <c r="E25">
        <v>1</v>
      </c>
      <c r="F25">
        <v>227125.18400000001</v>
      </c>
      <c r="G25">
        <v>227125.18400000001</v>
      </c>
      <c r="H25" t="s">
        <v>363</v>
      </c>
      <c r="I25" t="s">
        <v>391</v>
      </c>
    </row>
    <row r="26" spans="1:9" hidden="1" x14ac:dyDescent="0.35">
      <c r="A26" t="s">
        <v>23</v>
      </c>
      <c r="B26" t="s">
        <v>272</v>
      </c>
      <c r="C26">
        <v>8</v>
      </c>
      <c r="D26">
        <v>8</v>
      </c>
      <c r="E26">
        <v>8</v>
      </c>
      <c r="F26">
        <v>10050426.220000001</v>
      </c>
      <c r="G26">
        <v>6188577.1719208499</v>
      </c>
      <c r="H26" t="s">
        <v>363</v>
      </c>
      <c r="I26" t="s">
        <v>391</v>
      </c>
    </row>
    <row r="27" spans="1:9" hidden="1" x14ac:dyDescent="0.35">
      <c r="A27" t="s">
        <v>23</v>
      </c>
      <c r="B27" t="s">
        <v>272</v>
      </c>
      <c r="C27">
        <v>12</v>
      </c>
      <c r="D27">
        <v>1</v>
      </c>
      <c r="E27">
        <v>4</v>
      </c>
      <c r="F27">
        <v>-785.31781240423163</v>
      </c>
      <c r="G27">
        <v>785.31781240423163</v>
      </c>
      <c r="H27" t="s">
        <v>363</v>
      </c>
      <c r="I27" t="s">
        <v>391</v>
      </c>
    </row>
    <row r="28" spans="1:9" hidden="1" x14ac:dyDescent="0.35">
      <c r="A28" t="s">
        <v>23</v>
      </c>
      <c r="B28" t="s">
        <v>295</v>
      </c>
      <c r="C28" t="s">
        <v>296</v>
      </c>
      <c r="D28">
        <v>1</v>
      </c>
      <c r="E28">
        <v>4</v>
      </c>
      <c r="F28">
        <v>-1447270.804393566</v>
      </c>
      <c r="G28">
        <v>1447270.804393566</v>
      </c>
      <c r="H28" t="s">
        <v>363</v>
      </c>
      <c r="I28" t="s">
        <v>391</v>
      </c>
    </row>
    <row r="29" spans="1:9" hidden="1" x14ac:dyDescent="0.35">
      <c r="A29" t="s">
        <v>23</v>
      </c>
      <c r="B29" t="s">
        <v>299</v>
      </c>
      <c r="C29" t="s">
        <v>300</v>
      </c>
      <c r="D29">
        <v>12</v>
      </c>
      <c r="E29">
        <v>34</v>
      </c>
      <c r="F29" s="3">
        <v>2231172.796177038</v>
      </c>
      <c r="G29" s="3">
        <v>1997695.6179391879</v>
      </c>
      <c r="H29" t="s">
        <v>363</v>
      </c>
      <c r="I29" t="s">
        <v>391</v>
      </c>
    </row>
    <row r="30" spans="1:9" hidden="1" x14ac:dyDescent="0.35">
      <c r="A30" t="s">
        <v>23</v>
      </c>
      <c r="B30" t="s">
        <v>299</v>
      </c>
      <c r="C30" t="s">
        <v>317</v>
      </c>
      <c r="D30">
        <v>7</v>
      </c>
      <c r="E30">
        <v>211</v>
      </c>
      <c r="F30" s="3">
        <v>-19257494.926659688</v>
      </c>
      <c r="G30" s="3">
        <v>18589621.686188109</v>
      </c>
      <c r="H30" t="s">
        <v>363</v>
      </c>
      <c r="I30" t="s">
        <v>391</v>
      </c>
    </row>
    <row r="31" spans="1:9" hidden="1" x14ac:dyDescent="0.35">
      <c r="A31" t="s">
        <v>327</v>
      </c>
      <c r="B31" t="s">
        <v>272</v>
      </c>
      <c r="C31">
        <v>12</v>
      </c>
      <c r="D31">
        <v>3</v>
      </c>
      <c r="E31">
        <v>5</v>
      </c>
      <c r="F31">
        <v>-3159511.898233219</v>
      </c>
      <c r="G31">
        <v>3148466.3926162142</v>
      </c>
      <c r="H31" t="s">
        <v>363</v>
      </c>
      <c r="I31" t="s">
        <v>391</v>
      </c>
    </row>
    <row r="32" spans="1:9" hidden="1" x14ac:dyDescent="0.35">
      <c r="A32" t="s">
        <v>327</v>
      </c>
      <c r="B32" t="s">
        <v>299</v>
      </c>
      <c r="C32" t="s">
        <v>317</v>
      </c>
      <c r="D32">
        <v>8</v>
      </c>
      <c r="E32">
        <v>12</v>
      </c>
      <c r="F32">
        <v>-360.09008873637362</v>
      </c>
      <c r="G32">
        <v>356.52542965319373</v>
      </c>
      <c r="H32" t="s">
        <v>363</v>
      </c>
      <c r="I32" t="s">
        <v>391</v>
      </c>
    </row>
    <row r="37" spans="7:7" x14ac:dyDescent="0.35">
      <c r="G37" s="3">
        <f>POWER(G29,2)</f>
        <v>3990787781933.4341</v>
      </c>
    </row>
    <row r="38" spans="7:7" x14ac:dyDescent="0.35">
      <c r="G38" s="3">
        <f>POWER(G30,2)</f>
        <v>345574034435595.25</v>
      </c>
    </row>
    <row r="39" spans="7:7" x14ac:dyDescent="0.35">
      <c r="G39" s="3">
        <f>F29*2*0.5*F30</f>
        <v>-42966798802880.422</v>
      </c>
    </row>
    <row r="40" spans="7:7" x14ac:dyDescent="0.35">
      <c r="G40" s="3">
        <f>SUM(G37:G39)</f>
        <v>306598023414648.25</v>
      </c>
    </row>
    <row r="41" spans="7:7" x14ac:dyDescent="0.35">
      <c r="G41" s="4">
        <f>SQRT(G40)</f>
        <v>17509940.702773619</v>
      </c>
    </row>
  </sheetData>
  <autoFilter ref="A1:I32" xr:uid="{00000000-0001-0000-0500-000000000000}">
    <filterColumn colId="0">
      <filters>
        <filter val="delta"/>
      </filters>
    </filterColumn>
    <filterColumn colId="1">
      <filters>
        <filter val="CSR_SEC_NONCTP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88"/>
  <sheetViews>
    <sheetView tabSelected="1" topLeftCell="B141" workbookViewId="0">
      <selection activeCell="A143" sqref="A143:M153"/>
    </sheetView>
  </sheetViews>
  <sheetFormatPr defaultRowHeight="14.5" x14ac:dyDescent="0.35"/>
  <cols>
    <col min="1" max="1" width="58.7265625" customWidth="1"/>
    <col min="2" max="2" width="25.36328125" customWidth="1"/>
    <col min="3" max="3" width="28.453125" customWidth="1"/>
    <col min="4" max="4" width="30.6328125" customWidth="1"/>
  </cols>
  <sheetData>
    <row r="1" spans="1:6" x14ac:dyDescent="0.35">
      <c r="A1" t="s">
        <v>365</v>
      </c>
    </row>
    <row r="2" spans="1:6" x14ac:dyDescent="0.35">
      <c r="B2" t="s">
        <v>25</v>
      </c>
      <c r="C2" t="s">
        <v>27</v>
      </c>
      <c r="D2" t="s">
        <v>28</v>
      </c>
      <c r="E2" t="s">
        <v>29</v>
      </c>
      <c r="F2" t="s">
        <v>30</v>
      </c>
    </row>
    <row r="3" spans="1:6" x14ac:dyDescent="0.35">
      <c r="A3" t="s">
        <v>25</v>
      </c>
      <c r="B3">
        <v>1</v>
      </c>
      <c r="C3">
        <v>0.95</v>
      </c>
      <c r="D3">
        <v>0.95</v>
      </c>
      <c r="E3">
        <v>0.95</v>
      </c>
      <c r="F3">
        <v>0.95</v>
      </c>
    </row>
    <row r="4" spans="1:6" x14ac:dyDescent="0.35">
      <c r="A4" t="s">
        <v>27</v>
      </c>
      <c r="B4">
        <v>0.95</v>
      </c>
      <c r="C4">
        <v>1</v>
      </c>
      <c r="D4">
        <v>0.95</v>
      </c>
      <c r="E4">
        <v>0.95</v>
      </c>
      <c r="F4">
        <v>0.95</v>
      </c>
    </row>
    <row r="5" spans="1:6" x14ac:dyDescent="0.35">
      <c r="A5" t="s">
        <v>28</v>
      </c>
      <c r="B5">
        <v>0.95</v>
      </c>
      <c r="C5">
        <v>0.95</v>
      </c>
      <c r="D5">
        <v>1</v>
      </c>
      <c r="E5">
        <v>0.95</v>
      </c>
      <c r="F5">
        <v>0.95</v>
      </c>
    </row>
    <row r="6" spans="1:6" x14ac:dyDescent="0.35">
      <c r="A6" t="s">
        <v>29</v>
      </c>
      <c r="B6">
        <v>0.95</v>
      </c>
      <c r="C6">
        <v>0.95</v>
      </c>
      <c r="D6">
        <v>0.95</v>
      </c>
      <c r="E6">
        <v>1</v>
      </c>
      <c r="F6">
        <v>0.95</v>
      </c>
    </row>
    <row r="7" spans="1:6" x14ac:dyDescent="0.35">
      <c r="A7" t="s">
        <v>30</v>
      </c>
      <c r="B7">
        <v>0.95</v>
      </c>
      <c r="C7">
        <v>0.95</v>
      </c>
      <c r="D7">
        <v>0.95</v>
      </c>
      <c r="E7">
        <v>0.95</v>
      </c>
      <c r="F7">
        <v>1</v>
      </c>
    </row>
    <row r="10" spans="1:6" x14ac:dyDescent="0.35">
      <c r="A10" t="s">
        <v>366</v>
      </c>
    </row>
    <row r="11" spans="1:6" x14ac:dyDescent="0.35">
      <c r="B11" t="s">
        <v>31</v>
      </c>
      <c r="C11" t="s">
        <v>32</v>
      </c>
      <c r="D11" t="s">
        <v>33</v>
      </c>
      <c r="E11" t="s">
        <v>34</v>
      </c>
      <c r="F11" t="s">
        <v>35</v>
      </c>
    </row>
    <row r="12" spans="1:6" x14ac:dyDescent="0.35">
      <c r="A12" t="s">
        <v>31</v>
      </c>
      <c r="B12">
        <v>1</v>
      </c>
      <c r="C12">
        <v>0.6</v>
      </c>
      <c r="D12">
        <v>0.6</v>
      </c>
      <c r="E12">
        <v>0.6</v>
      </c>
      <c r="F12">
        <v>0.6</v>
      </c>
    </row>
    <row r="13" spans="1:6" x14ac:dyDescent="0.35">
      <c r="A13" t="s">
        <v>32</v>
      </c>
      <c r="B13">
        <v>0.6</v>
      </c>
      <c r="C13">
        <v>1</v>
      </c>
      <c r="D13">
        <v>0.6</v>
      </c>
      <c r="E13">
        <v>0.6</v>
      </c>
      <c r="F13">
        <v>0.6</v>
      </c>
    </row>
    <row r="14" spans="1:6" x14ac:dyDescent="0.35">
      <c r="A14" t="s">
        <v>33</v>
      </c>
      <c r="B14">
        <v>0.6</v>
      </c>
      <c r="C14">
        <v>0.6</v>
      </c>
      <c r="D14">
        <v>1</v>
      </c>
      <c r="E14">
        <v>0.6</v>
      </c>
      <c r="F14">
        <v>0.6</v>
      </c>
    </row>
    <row r="15" spans="1:6" x14ac:dyDescent="0.35">
      <c r="A15" t="s">
        <v>34</v>
      </c>
      <c r="B15">
        <v>0.6</v>
      </c>
      <c r="C15">
        <v>0.6</v>
      </c>
      <c r="D15">
        <v>0.6</v>
      </c>
      <c r="E15">
        <v>1</v>
      </c>
      <c r="F15">
        <v>0.6</v>
      </c>
    </row>
    <row r="16" spans="1:6" x14ac:dyDescent="0.35">
      <c r="A16" t="s">
        <v>35</v>
      </c>
      <c r="B16">
        <v>0.6</v>
      </c>
      <c r="C16">
        <v>0.6</v>
      </c>
      <c r="D16">
        <v>0.6</v>
      </c>
      <c r="E16">
        <v>0.6</v>
      </c>
      <c r="F16">
        <v>1</v>
      </c>
    </row>
    <row r="19" spans="1:7" x14ac:dyDescent="0.35">
      <c r="A19" t="s">
        <v>367</v>
      </c>
    </row>
    <row r="20" spans="1:7" x14ac:dyDescent="0.35">
      <c r="B20" t="s">
        <v>37</v>
      </c>
      <c r="C20" t="s">
        <v>38</v>
      </c>
    </row>
    <row r="21" spans="1:7" x14ac:dyDescent="0.35">
      <c r="A21" t="s">
        <v>37</v>
      </c>
      <c r="B21">
        <v>1</v>
      </c>
      <c r="C21">
        <v>0.55000000000000004</v>
      </c>
    </row>
    <row r="22" spans="1:7" x14ac:dyDescent="0.35">
      <c r="A22" t="s">
        <v>38</v>
      </c>
      <c r="B22">
        <v>0.55000000000000004</v>
      </c>
      <c r="C22">
        <v>1</v>
      </c>
    </row>
    <row r="25" spans="1:7" x14ac:dyDescent="0.35">
      <c r="A25" t="s">
        <v>368</v>
      </c>
    </row>
    <row r="26" spans="1:7" x14ac:dyDescent="0.35"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</row>
    <row r="27" spans="1:7" x14ac:dyDescent="0.35">
      <c r="A27" t="s">
        <v>39</v>
      </c>
      <c r="B27">
        <v>1</v>
      </c>
      <c r="C27">
        <v>0.45</v>
      </c>
      <c r="D27">
        <v>0.45</v>
      </c>
      <c r="E27">
        <v>0.45</v>
      </c>
      <c r="F27">
        <v>0.45</v>
      </c>
      <c r="G27">
        <v>0.45</v>
      </c>
    </row>
    <row r="28" spans="1:7" x14ac:dyDescent="0.35">
      <c r="A28" t="s">
        <v>40</v>
      </c>
      <c r="B28">
        <v>0.45</v>
      </c>
      <c r="C28">
        <v>1</v>
      </c>
      <c r="D28">
        <v>0.45</v>
      </c>
      <c r="E28">
        <v>0.45</v>
      </c>
      <c r="F28">
        <v>0.45</v>
      </c>
      <c r="G28">
        <v>0.45</v>
      </c>
    </row>
    <row r="29" spans="1:7" x14ac:dyDescent="0.35">
      <c r="A29" t="s">
        <v>41</v>
      </c>
      <c r="B29">
        <v>0.45</v>
      </c>
      <c r="C29">
        <v>0.45</v>
      </c>
      <c r="D29">
        <v>1</v>
      </c>
      <c r="E29">
        <v>0.45</v>
      </c>
      <c r="F29">
        <v>0.45</v>
      </c>
      <c r="G29">
        <v>0.45</v>
      </c>
    </row>
    <row r="30" spans="1:7" x14ac:dyDescent="0.35">
      <c r="A30" t="s">
        <v>42</v>
      </c>
      <c r="B30">
        <v>0.45</v>
      </c>
      <c r="C30">
        <v>0.45</v>
      </c>
      <c r="D30">
        <v>0.45</v>
      </c>
      <c r="E30">
        <v>1</v>
      </c>
      <c r="F30">
        <v>0.45</v>
      </c>
      <c r="G30">
        <v>0.45</v>
      </c>
    </row>
    <row r="31" spans="1:7" x14ac:dyDescent="0.35">
      <c r="A31" t="s">
        <v>43</v>
      </c>
      <c r="B31">
        <v>0.45</v>
      </c>
      <c r="C31">
        <v>0.45</v>
      </c>
      <c r="D31">
        <v>0.45</v>
      </c>
      <c r="E31">
        <v>0.45</v>
      </c>
      <c r="F31">
        <v>1</v>
      </c>
      <c r="G31">
        <v>0.45</v>
      </c>
    </row>
    <row r="32" spans="1:7" x14ac:dyDescent="0.35">
      <c r="A32" t="s">
        <v>44</v>
      </c>
      <c r="B32">
        <v>0.45</v>
      </c>
      <c r="C32">
        <v>0.45</v>
      </c>
      <c r="D32">
        <v>0.45</v>
      </c>
      <c r="E32">
        <v>0.45</v>
      </c>
      <c r="F32">
        <v>0.45</v>
      </c>
      <c r="G32">
        <v>1</v>
      </c>
    </row>
    <row r="35" spans="1:5" x14ac:dyDescent="0.35">
      <c r="A35" t="s">
        <v>369</v>
      </c>
    </row>
    <row r="36" spans="1:5" x14ac:dyDescent="0.35">
      <c r="B36" t="s">
        <v>45</v>
      </c>
      <c r="C36" t="s">
        <v>46</v>
      </c>
    </row>
    <row r="37" spans="1:5" x14ac:dyDescent="0.35">
      <c r="A37" t="s">
        <v>45</v>
      </c>
      <c r="B37">
        <v>1</v>
      </c>
      <c r="C37">
        <v>0.15</v>
      </c>
    </row>
    <row r="38" spans="1:5" x14ac:dyDescent="0.35">
      <c r="A38" t="s">
        <v>46</v>
      </c>
      <c r="B38">
        <v>0.15</v>
      </c>
      <c r="C38">
        <v>1</v>
      </c>
    </row>
    <row r="41" spans="1:5" x14ac:dyDescent="0.35">
      <c r="A41" t="s">
        <v>370</v>
      </c>
    </row>
    <row r="42" spans="1:5" x14ac:dyDescent="0.35">
      <c r="B42" t="s">
        <v>47</v>
      </c>
      <c r="C42" t="s">
        <v>48</v>
      </c>
      <c r="D42" t="s">
        <v>49</v>
      </c>
      <c r="E42" t="s">
        <v>50</v>
      </c>
    </row>
    <row r="43" spans="1:5" x14ac:dyDescent="0.35">
      <c r="A43" t="s">
        <v>47</v>
      </c>
      <c r="B43">
        <v>1</v>
      </c>
      <c r="C43">
        <v>0.4</v>
      </c>
      <c r="D43">
        <v>0.4</v>
      </c>
      <c r="E43">
        <v>0.4</v>
      </c>
    </row>
    <row r="44" spans="1:5" x14ac:dyDescent="0.35">
      <c r="A44" t="s">
        <v>48</v>
      </c>
      <c r="B44">
        <v>0.4</v>
      </c>
      <c r="C44">
        <v>1</v>
      </c>
      <c r="D44">
        <v>0.4</v>
      </c>
      <c r="E44">
        <v>0.4</v>
      </c>
    </row>
    <row r="45" spans="1:5" x14ac:dyDescent="0.35">
      <c r="A45" t="s">
        <v>49</v>
      </c>
      <c r="B45">
        <v>0.4</v>
      </c>
      <c r="C45">
        <v>0.4</v>
      </c>
      <c r="D45">
        <v>1</v>
      </c>
      <c r="E45">
        <v>0.4</v>
      </c>
    </row>
    <row r="46" spans="1:5" x14ac:dyDescent="0.35">
      <c r="A46" t="s">
        <v>50</v>
      </c>
      <c r="B46">
        <v>0.4</v>
      </c>
      <c r="C46">
        <v>0.4</v>
      </c>
      <c r="D46">
        <v>0.4</v>
      </c>
      <c r="E46">
        <v>1</v>
      </c>
    </row>
    <row r="49" spans="1:19" x14ac:dyDescent="0.35">
      <c r="A49" t="s">
        <v>371</v>
      </c>
    </row>
    <row r="50" spans="1:19" x14ac:dyDescent="0.35">
      <c r="B50" t="s">
        <v>52</v>
      </c>
      <c r="C50" t="s">
        <v>55</v>
      </c>
      <c r="D50" t="s">
        <v>57</v>
      </c>
      <c r="E50" t="s">
        <v>59</v>
      </c>
      <c r="F50" t="s">
        <v>61</v>
      </c>
      <c r="G50" t="s">
        <v>62</v>
      </c>
    </row>
    <row r="51" spans="1:19" x14ac:dyDescent="0.35">
      <c r="A51" t="s">
        <v>52</v>
      </c>
      <c r="B51">
        <v>1</v>
      </c>
      <c r="C51">
        <v>0.35</v>
      </c>
      <c r="D51">
        <v>0.35</v>
      </c>
      <c r="E51">
        <v>0.22750000000000001</v>
      </c>
      <c r="F51">
        <v>0.22750000000000001</v>
      </c>
      <c r="G51">
        <v>0.22750000000000001</v>
      </c>
    </row>
    <row r="52" spans="1:19" x14ac:dyDescent="0.35">
      <c r="A52" t="s">
        <v>55</v>
      </c>
      <c r="B52">
        <v>0.35</v>
      </c>
      <c r="C52">
        <v>1</v>
      </c>
      <c r="D52">
        <v>0.35</v>
      </c>
      <c r="E52">
        <v>0.65</v>
      </c>
      <c r="F52">
        <v>0.22750000000000001</v>
      </c>
      <c r="G52">
        <v>0.22750000000000001</v>
      </c>
    </row>
    <row r="53" spans="1:19" x14ac:dyDescent="0.35">
      <c r="A53" t="s">
        <v>57</v>
      </c>
      <c r="B53">
        <v>0.35</v>
      </c>
      <c r="C53">
        <v>0.35</v>
      </c>
      <c r="D53">
        <v>1</v>
      </c>
      <c r="E53">
        <v>0.22750000000000001</v>
      </c>
      <c r="F53">
        <v>0.65</v>
      </c>
      <c r="G53">
        <v>0.65</v>
      </c>
    </row>
    <row r="54" spans="1:19" x14ac:dyDescent="0.35">
      <c r="A54" t="s">
        <v>59</v>
      </c>
      <c r="B54">
        <v>0.22750000000000001</v>
      </c>
      <c r="C54">
        <v>0.65</v>
      </c>
      <c r="D54">
        <v>0.22750000000000001</v>
      </c>
      <c r="E54">
        <v>1</v>
      </c>
      <c r="F54">
        <v>0.35</v>
      </c>
      <c r="G54">
        <v>0.22750000000000001</v>
      </c>
    </row>
    <row r="55" spans="1:19" x14ac:dyDescent="0.35">
      <c r="A55" t="s">
        <v>61</v>
      </c>
      <c r="B55">
        <v>0.22750000000000001</v>
      </c>
      <c r="C55">
        <v>0.22750000000000001</v>
      </c>
      <c r="D55">
        <v>0.65</v>
      </c>
      <c r="E55">
        <v>0.35</v>
      </c>
      <c r="F55">
        <v>1</v>
      </c>
      <c r="G55">
        <v>0.65</v>
      </c>
    </row>
    <row r="56" spans="1:19" x14ac:dyDescent="0.35">
      <c r="A56" t="s">
        <v>62</v>
      </c>
      <c r="B56">
        <v>0.22750000000000001</v>
      </c>
      <c r="C56">
        <v>0.22750000000000001</v>
      </c>
      <c r="D56">
        <v>0.65</v>
      </c>
      <c r="E56">
        <v>0.22750000000000001</v>
      </c>
      <c r="F56">
        <v>0.65</v>
      </c>
      <c r="G56">
        <v>1</v>
      </c>
    </row>
    <row r="59" spans="1:19" x14ac:dyDescent="0.35">
      <c r="A59" t="s">
        <v>372</v>
      </c>
    </row>
    <row r="60" spans="1:19" x14ac:dyDescent="0.35">
      <c r="B60" t="s">
        <v>64</v>
      </c>
      <c r="C60" t="s">
        <v>67</v>
      </c>
      <c r="D60" t="s">
        <v>69</v>
      </c>
      <c r="E60" t="s">
        <v>71</v>
      </c>
      <c r="F60" t="s">
        <v>73</v>
      </c>
      <c r="G60" t="s">
        <v>75</v>
      </c>
      <c r="H60" t="s">
        <v>77</v>
      </c>
      <c r="I60" t="s">
        <v>78</v>
      </c>
      <c r="J60" t="s">
        <v>79</v>
      </c>
      <c r="K60" t="s">
        <v>80</v>
      </c>
      <c r="L60" t="s">
        <v>81</v>
      </c>
      <c r="M60" t="s">
        <v>83</v>
      </c>
      <c r="N60" t="s">
        <v>84</v>
      </c>
      <c r="O60" t="s">
        <v>85</v>
      </c>
      <c r="P60" t="s">
        <v>86</v>
      </c>
      <c r="Q60" t="s">
        <v>87</v>
      </c>
      <c r="R60" t="s">
        <v>89</v>
      </c>
      <c r="S60" t="s">
        <v>90</v>
      </c>
    </row>
    <row r="61" spans="1:19" x14ac:dyDescent="0.35">
      <c r="A61" t="s">
        <v>64</v>
      </c>
      <c r="B61">
        <v>1</v>
      </c>
      <c r="C61">
        <v>0.35</v>
      </c>
      <c r="D61">
        <v>0.35</v>
      </c>
      <c r="E61">
        <v>0.35</v>
      </c>
      <c r="F61">
        <v>0.35</v>
      </c>
      <c r="G61">
        <v>0.65</v>
      </c>
      <c r="H61">
        <v>0.22750000000000001</v>
      </c>
      <c r="I61">
        <v>0.22750000000000001</v>
      </c>
      <c r="J61">
        <v>0.22750000000000001</v>
      </c>
      <c r="K61">
        <v>0.22750000000000001</v>
      </c>
      <c r="L61">
        <v>0.65</v>
      </c>
      <c r="M61">
        <v>0.22750000000000001</v>
      </c>
      <c r="N61">
        <v>0.22750000000000001</v>
      </c>
      <c r="O61">
        <v>0.22750000000000001</v>
      </c>
      <c r="P61">
        <v>0.22750000000000001</v>
      </c>
      <c r="Q61">
        <v>0.65</v>
      </c>
      <c r="R61">
        <v>0.22750000000000001</v>
      </c>
      <c r="S61">
        <v>0.22750000000000001</v>
      </c>
    </row>
    <row r="62" spans="1:19" x14ac:dyDescent="0.35">
      <c r="A62" t="s">
        <v>67</v>
      </c>
      <c r="B62">
        <v>0.35</v>
      </c>
      <c r="C62">
        <v>1</v>
      </c>
      <c r="D62">
        <v>0.35</v>
      </c>
      <c r="E62">
        <v>0.35</v>
      </c>
      <c r="F62">
        <v>0.35</v>
      </c>
      <c r="G62">
        <v>0.22750000000000001</v>
      </c>
      <c r="H62">
        <v>0.65</v>
      </c>
      <c r="I62">
        <v>0.22750000000000001</v>
      </c>
      <c r="J62">
        <v>0.22750000000000001</v>
      </c>
      <c r="K62">
        <v>0.22750000000000001</v>
      </c>
      <c r="L62">
        <v>0.22750000000000001</v>
      </c>
      <c r="M62">
        <v>0.65</v>
      </c>
      <c r="N62">
        <v>0.22750000000000001</v>
      </c>
      <c r="O62">
        <v>0.22750000000000001</v>
      </c>
      <c r="P62">
        <v>0.22750000000000001</v>
      </c>
      <c r="Q62">
        <v>0.22750000000000001</v>
      </c>
      <c r="R62">
        <v>0.22750000000000001</v>
      </c>
      <c r="S62">
        <v>0.22750000000000001</v>
      </c>
    </row>
    <row r="63" spans="1:19" x14ac:dyDescent="0.35">
      <c r="A63" t="s">
        <v>69</v>
      </c>
      <c r="B63">
        <v>0.35</v>
      </c>
      <c r="C63">
        <v>0.35</v>
      </c>
      <c r="D63">
        <v>1</v>
      </c>
      <c r="E63">
        <v>0.35</v>
      </c>
      <c r="F63">
        <v>0.35</v>
      </c>
      <c r="G63">
        <v>0.22750000000000001</v>
      </c>
      <c r="H63">
        <v>0.22750000000000001</v>
      </c>
      <c r="I63">
        <v>0.65</v>
      </c>
      <c r="J63">
        <v>0.22750000000000001</v>
      </c>
      <c r="K63">
        <v>0.22750000000000001</v>
      </c>
      <c r="L63">
        <v>0.22750000000000001</v>
      </c>
      <c r="M63">
        <v>0.22750000000000001</v>
      </c>
      <c r="N63">
        <v>0.65</v>
      </c>
      <c r="O63">
        <v>0.22750000000000001</v>
      </c>
      <c r="P63">
        <v>0.22750000000000001</v>
      </c>
      <c r="Q63">
        <v>0.22750000000000001</v>
      </c>
      <c r="R63">
        <v>0.65</v>
      </c>
      <c r="S63">
        <v>0.22750000000000001</v>
      </c>
    </row>
    <row r="64" spans="1:19" x14ac:dyDescent="0.35">
      <c r="A64" t="s">
        <v>71</v>
      </c>
      <c r="B64">
        <v>0.35</v>
      </c>
      <c r="C64">
        <v>0.35</v>
      </c>
      <c r="D64">
        <v>0.35</v>
      </c>
      <c r="E64">
        <v>1</v>
      </c>
      <c r="F64">
        <v>0.35</v>
      </c>
      <c r="G64">
        <v>0.22750000000000001</v>
      </c>
      <c r="H64">
        <v>0.22750000000000001</v>
      </c>
      <c r="I64">
        <v>0.22750000000000001</v>
      </c>
      <c r="J64">
        <v>0.65</v>
      </c>
      <c r="K64">
        <v>0.22750000000000001</v>
      </c>
      <c r="L64">
        <v>0.22750000000000001</v>
      </c>
      <c r="M64">
        <v>0.22750000000000001</v>
      </c>
      <c r="N64">
        <v>0.22750000000000001</v>
      </c>
      <c r="O64">
        <v>0.65</v>
      </c>
      <c r="P64">
        <v>0.22750000000000001</v>
      </c>
      <c r="Q64">
        <v>0.22750000000000001</v>
      </c>
      <c r="R64">
        <v>0.22750000000000001</v>
      </c>
      <c r="S64">
        <v>0.22750000000000001</v>
      </c>
    </row>
    <row r="65" spans="1:19" x14ac:dyDescent="0.35">
      <c r="A65" t="s">
        <v>73</v>
      </c>
      <c r="B65">
        <v>0.35</v>
      </c>
      <c r="C65">
        <v>0.35</v>
      </c>
      <c r="D65">
        <v>0.35</v>
      </c>
      <c r="E65">
        <v>0.35</v>
      </c>
      <c r="F65">
        <v>1</v>
      </c>
      <c r="G65">
        <v>0.22750000000000001</v>
      </c>
      <c r="H65">
        <v>0.22750000000000001</v>
      </c>
      <c r="I65">
        <v>0.22750000000000001</v>
      </c>
      <c r="J65">
        <v>0.22750000000000001</v>
      </c>
      <c r="K65">
        <v>0.65</v>
      </c>
      <c r="L65">
        <v>0.22750000000000001</v>
      </c>
      <c r="M65">
        <v>0.22750000000000001</v>
      </c>
      <c r="N65">
        <v>0.22750000000000001</v>
      </c>
      <c r="O65">
        <v>0.22750000000000001</v>
      </c>
      <c r="P65">
        <v>0.65</v>
      </c>
      <c r="Q65">
        <v>0.22750000000000001</v>
      </c>
      <c r="R65">
        <v>0.22750000000000001</v>
      </c>
      <c r="S65">
        <v>0.65</v>
      </c>
    </row>
    <row r="66" spans="1:19" x14ac:dyDescent="0.35">
      <c r="A66" t="s">
        <v>75</v>
      </c>
      <c r="B66">
        <v>0.65</v>
      </c>
      <c r="C66">
        <v>0.22750000000000001</v>
      </c>
      <c r="D66">
        <v>0.22750000000000001</v>
      </c>
      <c r="E66">
        <v>0.22750000000000001</v>
      </c>
      <c r="F66">
        <v>0.22750000000000001</v>
      </c>
      <c r="G66">
        <v>1</v>
      </c>
      <c r="H66">
        <v>0.35</v>
      </c>
      <c r="I66">
        <v>0.35</v>
      </c>
      <c r="J66">
        <v>0.35</v>
      </c>
      <c r="K66">
        <v>0.35</v>
      </c>
      <c r="L66">
        <v>0.65</v>
      </c>
      <c r="M66">
        <v>0.22750000000000001</v>
      </c>
      <c r="N66">
        <v>0.22750000000000001</v>
      </c>
      <c r="O66">
        <v>0.22750000000000001</v>
      </c>
      <c r="P66">
        <v>0.22750000000000001</v>
      </c>
      <c r="Q66">
        <v>0.65</v>
      </c>
      <c r="R66">
        <v>0.22750000000000001</v>
      </c>
      <c r="S66">
        <v>0.22750000000000001</v>
      </c>
    </row>
    <row r="67" spans="1:19" x14ac:dyDescent="0.35">
      <c r="A67" t="s">
        <v>77</v>
      </c>
      <c r="B67">
        <v>0.22750000000000001</v>
      </c>
      <c r="C67">
        <v>0.65</v>
      </c>
      <c r="D67">
        <v>0.22750000000000001</v>
      </c>
      <c r="E67">
        <v>0.22750000000000001</v>
      </c>
      <c r="F67">
        <v>0.22750000000000001</v>
      </c>
      <c r="G67">
        <v>0.35</v>
      </c>
      <c r="H67">
        <v>1</v>
      </c>
      <c r="I67">
        <v>0.35</v>
      </c>
      <c r="J67">
        <v>0.35</v>
      </c>
      <c r="K67">
        <v>0.35</v>
      </c>
      <c r="L67">
        <v>0.22750000000000001</v>
      </c>
      <c r="M67">
        <v>0.65</v>
      </c>
      <c r="N67">
        <v>0.22750000000000001</v>
      </c>
      <c r="O67">
        <v>0.22750000000000001</v>
      </c>
      <c r="P67">
        <v>0.22750000000000001</v>
      </c>
      <c r="Q67">
        <v>0.22750000000000001</v>
      </c>
      <c r="R67">
        <v>0.22750000000000001</v>
      </c>
      <c r="S67">
        <v>0.22750000000000001</v>
      </c>
    </row>
    <row r="68" spans="1:19" x14ac:dyDescent="0.35">
      <c r="A68" t="s">
        <v>78</v>
      </c>
      <c r="B68">
        <v>0.22750000000000001</v>
      </c>
      <c r="C68">
        <v>0.22750000000000001</v>
      </c>
      <c r="D68">
        <v>0.65</v>
      </c>
      <c r="E68">
        <v>0.22750000000000001</v>
      </c>
      <c r="F68">
        <v>0.22750000000000001</v>
      </c>
      <c r="G68">
        <v>0.35</v>
      </c>
      <c r="H68">
        <v>0.35</v>
      </c>
      <c r="I68">
        <v>1</v>
      </c>
      <c r="J68">
        <v>0.35</v>
      </c>
      <c r="K68">
        <v>0.35</v>
      </c>
      <c r="L68">
        <v>0.22750000000000001</v>
      </c>
      <c r="M68">
        <v>0.22750000000000001</v>
      </c>
      <c r="N68">
        <v>0.65</v>
      </c>
      <c r="O68">
        <v>0.22750000000000001</v>
      </c>
      <c r="P68">
        <v>0.22750000000000001</v>
      </c>
      <c r="Q68">
        <v>0.22750000000000001</v>
      </c>
      <c r="R68">
        <v>0.65</v>
      </c>
      <c r="S68">
        <v>0.22750000000000001</v>
      </c>
    </row>
    <row r="69" spans="1:19" x14ac:dyDescent="0.35">
      <c r="A69" t="s">
        <v>79</v>
      </c>
      <c r="B69">
        <v>0.22750000000000001</v>
      </c>
      <c r="C69">
        <v>0.22750000000000001</v>
      </c>
      <c r="D69">
        <v>0.22750000000000001</v>
      </c>
      <c r="E69">
        <v>0.65</v>
      </c>
      <c r="F69">
        <v>0.22750000000000001</v>
      </c>
      <c r="G69">
        <v>0.35</v>
      </c>
      <c r="H69">
        <v>0.35</v>
      </c>
      <c r="I69">
        <v>0.35</v>
      </c>
      <c r="J69">
        <v>1</v>
      </c>
      <c r="K69">
        <v>0.35</v>
      </c>
      <c r="L69">
        <v>0.22750000000000001</v>
      </c>
      <c r="M69">
        <v>0.22750000000000001</v>
      </c>
      <c r="N69">
        <v>0.22750000000000001</v>
      </c>
      <c r="O69">
        <v>0.65</v>
      </c>
      <c r="P69">
        <v>0.22750000000000001</v>
      </c>
      <c r="Q69">
        <v>0.22750000000000001</v>
      </c>
      <c r="R69">
        <v>0.22750000000000001</v>
      </c>
      <c r="S69">
        <v>0.22750000000000001</v>
      </c>
    </row>
    <row r="70" spans="1:19" x14ac:dyDescent="0.35">
      <c r="A70" t="s">
        <v>80</v>
      </c>
      <c r="B70">
        <v>0.22750000000000001</v>
      </c>
      <c r="C70">
        <v>0.22750000000000001</v>
      </c>
      <c r="D70">
        <v>0.22750000000000001</v>
      </c>
      <c r="E70">
        <v>0.22750000000000001</v>
      </c>
      <c r="F70">
        <v>0.65</v>
      </c>
      <c r="G70">
        <v>0.35</v>
      </c>
      <c r="H70">
        <v>0.35</v>
      </c>
      <c r="I70">
        <v>0.35</v>
      </c>
      <c r="J70">
        <v>0.35</v>
      </c>
      <c r="K70">
        <v>1</v>
      </c>
      <c r="L70">
        <v>0.22750000000000001</v>
      </c>
      <c r="M70">
        <v>0.22750000000000001</v>
      </c>
      <c r="N70">
        <v>0.22750000000000001</v>
      </c>
      <c r="O70">
        <v>0.22750000000000001</v>
      </c>
      <c r="P70">
        <v>0.65</v>
      </c>
      <c r="Q70">
        <v>0.22750000000000001</v>
      </c>
      <c r="R70">
        <v>0.22750000000000001</v>
      </c>
      <c r="S70">
        <v>0.65</v>
      </c>
    </row>
    <row r="71" spans="1:19" x14ac:dyDescent="0.35">
      <c r="A71" t="s">
        <v>81</v>
      </c>
      <c r="B71">
        <v>0.65</v>
      </c>
      <c r="C71">
        <v>0.22750000000000001</v>
      </c>
      <c r="D71">
        <v>0.22750000000000001</v>
      </c>
      <c r="E71">
        <v>0.22750000000000001</v>
      </c>
      <c r="F71">
        <v>0.22750000000000001</v>
      </c>
      <c r="G71">
        <v>0.65</v>
      </c>
      <c r="H71">
        <v>0.22750000000000001</v>
      </c>
      <c r="I71">
        <v>0.22750000000000001</v>
      </c>
      <c r="J71">
        <v>0.22750000000000001</v>
      </c>
      <c r="K71">
        <v>0.22750000000000001</v>
      </c>
      <c r="L71">
        <v>1</v>
      </c>
      <c r="M71">
        <v>0.35</v>
      </c>
      <c r="N71">
        <v>0.35</v>
      </c>
      <c r="O71">
        <v>0.35</v>
      </c>
      <c r="P71">
        <v>0.35</v>
      </c>
      <c r="Q71">
        <v>0.65</v>
      </c>
      <c r="R71">
        <v>0.22750000000000001</v>
      </c>
      <c r="S71">
        <v>0.22750000000000001</v>
      </c>
    </row>
    <row r="72" spans="1:19" x14ac:dyDescent="0.35">
      <c r="A72" t="s">
        <v>83</v>
      </c>
      <c r="B72">
        <v>0.22750000000000001</v>
      </c>
      <c r="C72">
        <v>0.65</v>
      </c>
      <c r="D72">
        <v>0.22750000000000001</v>
      </c>
      <c r="E72">
        <v>0.22750000000000001</v>
      </c>
      <c r="F72">
        <v>0.22750000000000001</v>
      </c>
      <c r="G72">
        <v>0.22750000000000001</v>
      </c>
      <c r="H72">
        <v>0.65</v>
      </c>
      <c r="I72">
        <v>0.22750000000000001</v>
      </c>
      <c r="J72">
        <v>0.22750000000000001</v>
      </c>
      <c r="K72">
        <v>0.22750000000000001</v>
      </c>
      <c r="L72">
        <v>0.35</v>
      </c>
      <c r="M72">
        <v>1</v>
      </c>
      <c r="N72">
        <v>0.35</v>
      </c>
      <c r="O72">
        <v>0.35</v>
      </c>
      <c r="P72">
        <v>0.35</v>
      </c>
      <c r="Q72">
        <v>0.22750000000000001</v>
      </c>
      <c r="R72">
        <v>0.22750000000000001</v>
      </c>
      <c r="S72">
        <v>0.22750000000000001</v>
      </c>
    </row>
    <row r="73" spans="1:19" x14ac:dyDescent="0.35">
      <c r="A73" t="s">
        <v>84</v>
      </c>
      <c r="B73">
        <v>0.22750000000000001</v>
      </c>
      <c r="C73">
        <v>0.22750000000000001</v>
      </c>
      <c r="D73">
        <v>0.65</v>
      </c>
      <c r="E73">
        <v>0.22750000000000001</v>
      </c>
      <c r="F73">
        <v>0.22750000000000001</v>
      </c>
      <c r="G73">
        <v>0.22750000000000001</v>
      </c>
      <c r="H73">
        <v>0.22750000000000001</v>
      </c>
      <c r="I73">
        <v>0.65</v>
      </c>
      <c r="J73">
        <v>0.22750000000000001</v>
      </c>
      <c r="K73">
        <v>0.22750000000000001</v>
      </c>
      <c r="L73">
        <v>0.35</v>
      </c>
      <c r="M73">
        <v>0.35</v>
      </c>
      <c r="N73">
        <v>1</v>
      </c>
      <c r="O73">
        <v>0.35</v>
      </c>
      <c r="P73">
        <v>0.35</v>
      </c>
      <c r="Q73">
        <v>0.22750000000000001</v>
      </c>
      <c r="R73">
        <v>0.65</v>
      </c>
      <c r="S73">
        <v>0.22750000000000001</v>
      </c>
    </row>
    <row r="74" spans="1:19" x14ac:dyDescent="0.35">
      <c r="A74" t="s">
        <v>85</v>
      </c>
      <c r="B74">
        <v>0.22750000000000001</v>
      </c>
      <c r="C74">
        <v>0.22750000000000001</v>
      </c>
      <c r="D74">
        <v>0.22750000000000001</v>
      </c>
      <c r="E74">
        <v>0.65</v>
      </c>
      <c r="F74">
        <v>0.22750000000000001</v>
      </c>
      <c r="G74">
        <v>0.22750000000000001</v>
      </c>
      <c r="H74">
        <v>0.22750000000000001</v>
      </c>
      <c r="I74">
        <v>0.22750000000000001</v>
      </c>
      <c r="J74">
        <v>0.65</v>
      </c>
      <c r="K74">
        <v>0.22750000000000001</v>
      </c>
      <c r="L74">
        <v>0.35</v>
      </c>
      <c r="M74">
        <v>0.35</v>
      </c>
      <c r="N74">
        <v>0.35</v>
      </c>
      <c r="O74">
        <v>1</v>
      </c>
      <c r="P74">
        <v>0.35</v>
      </c>
      <c r="Q74">
        <v>0.22750000000000001</v>
      </c>
      <c r="R74">
        <v>0.22750000000000001</v>
      </c>
      <c r="S74">
        <v>0.22750000000000001</v>
      </c>
    </row>
    <row r="75" spans="1:19" x14ac:dyDescent="0.35">
      <c r="A75" t="s">
        <v>86</v>
      </c>
      <c r="B75">
        <v>0.22750000000000001</v>
      </c>
      <c r="C75">
        <v>0.22750000000000001</v>
      </c>
      <c r="D75">
        <v>0.22750000000000001</v>
      </c>
      <c r="E75">
        <v>0.22750000000000001</v>
      </c>
      <c r="F75">
        <v>0.65</v>
      </c>
      <c r="G75">
        <v>0.22750000000000001</v>
      </c>
      <c r="H75">
        <v>0.22750000000000001</v>
      </c>
      <c r="I75">
        <v>0.22750000000000001</v>
      </c>
      <c r="J75">
        <v>0.22750000000000001</v>
      </c>
      <c r="K75">
        <v>0.65</v>
      </c>
      <c r="L75">
        <v>0.35</v>
      </c>
      <c r="M75">
        <v>0.35</v>
      </c>
      <c r="N75">
        <v>0.35</v>
      </c>
      <c r="O75">
        <v>0.35</v>
      </c>
      <c r="P75">
        <v>1</v>
      </c>
      <c r="Q75">
        <v>0.22750000000000001</v>
      </c>
      <c r="R75">
        <v>0.22750000000000001</v>
      </c>
      <c r="S75">
        <v>0.65</v>
      </c>
    </row>
    <row r="76" spans="1:19" x14ac:dyDescent="0.35">
      <c r="A76" t="s">
        <v>87</v>
      </c>
      <c r="B76">
        <v>0.65</v>
      </c>
      <c r="C76">
        <v>0.22750000000000001</v>
      </c>
      <c r="D76">
        <v>0.22750000000000001</v>
      </c>
      <c r="E76">
        <v>0.22750000000000001</v>
      </c>
      <c r="F76">
        <v>0.22750000000000001</v>
      </c>
      <c r="G76">
        <v>0.65</v>
      </c>
      <c r="H76">
        <v>0.22750000000000001</v>
      </c>
      <c r="I76">
        <v>0.22750000000000001</v>
      </c>
      <c r="J76">
        <v>0.22750000000000001</v>
      </c>
      <c r="K76">
        <v>0.22750000000000001</v>
      </c>
      <c r="L76">
        <v>0.65</v>
      </c>
      <c r="M76">
        <v>0.22750000000000001</v>
      </c>
      <c r="N76">
        <v>0.22750000000000001</v>
      </c>
      <c r="O76">
        <v>0.22750000000000001</v>
      </c>
      <c r="P76">
        <v>0.22750000000000001</v>
      </c>
      <c r="Q76">
        <v>1</v>
      </c>
      <c r="R76">
        <v>0.35</v>
      </c>
      <c r="S76">
        <v>0.35</v>
      </c>
    </row>
    <row r="77" spans="1:19" x14ac:dyDescent="0.35">
      <c r="A77" t="s">
        <v>89</v>
      </c>
      <c r="B77">
        <v>0.22750000000000001</v>
      </c>
      <c r="C77">
        <v>0.22750000000000001</v>
      </c>
      <c r="D77">
        <v>0.65</v>
      </c>
      <c r="E77">
        <v>0.22750000000000001</v>
      </c>
      <c r="F77">
        <v>0.22750000000000001</v>
      </c>
      <c r="G77">
        <v>0.22750000000000001</v>
      </c>
      <c r="H77">
        <v>0.22750000000000001</v>
      </c>
      <c r="I77">
        <v>0.65</v>
      </c>
      <c r="J77">
        <v>0.22750000000000001</v>
      </c>
      <c r="K77">
        <v>0.22750000000000001</v>
      </c>
      <c r="L77">
        <v>0.22750000000000001</v>
      </c>
      <c r="M77">
        <v>0.22750000000000001</v>
      </c>
      <c r="N77">
        <v>0.65</v>
      </c>
      <c r="O77">
        <v>0.22750000000000001</v>
      </c>
      <c r="P77">
        <v>0.22750000000000001</v>
      </c>
      <c r="Q77">
        <v>0.35</v>
      </c>
      <c r="R77">
        <v>1</v>
      </c>
      <c r="S77">
        <v>0.35</v>
      </c>
    </row>
    <row r="78" spans="1:19" x14ac:dyDescent="0.35">
      <c r="A78" t="s">
        <v>90</v>
      </c>
      <c r="B78">
        <v>0.22750000000000001</v>
      </c>
      <c r="C78">
        <v>0.22750000000000001</v>
      </c>
      <c r="D78">
        <v>0.22750000000000001</v>
      </c>
      <c r="E78">
        <v>0.22750000000000001</v>
      </c>
      <c r="F78">
        <v>0.65</v>
      </c>
      <c r="G78">
        <v>0.22750000000000001</v>
      </c>
      <c r="H78">
        <v>0.22750000000000001</v>
      </c>
      <c r="I78">
        <v>0.22750000000000001</v>
      </c>
      <c r="J78">
        <v>0.22750000000000001</v>
      </c>
      <c r="K78">
        <v>0.65</v>
      </c>
      <c r="L78">
        <v>0.22750000000000001</v>
      </c>
      <c r="M78">
        <v>0.22750000000000001</v>
      </c>
      <c r="N78">
        <v>0.22750000000000001</v>
      </c>
      <c r="O78">
        <v>0.22750000000000001</v>
      </c>
      <c r="P78">
        <v>0.65</v>
      </c>
      <c r="Q78">
        <v>0.35</v>
      </c>
      <c r="R78">
        <v>0.35</v>
      </c>
      <c r="S78">
        <v>1</v>
      </c>
    </row>
    <row r="81" spans="1:13" x14ac:dyDescent="0.35">
      <c r="A81" t="s">
        <v>373</v>
      </c>
    </row>
    <row r="82" spans="1:13" x14ac:dyDescent="0.35">
      <c r="B82" t="s">
        <v>91</v>
      </c>
      <c r="C82" t="s">
        <v>94</v>
      </c>
      <c r="D82" t="s">
        <v>96</v>
      </c>
      <c r="E82" t="s">
        <v>98</v>
      </c>
      <c r="F82" t="s">
        <v>100</v>
      </c>
      <c r="G82" t="s">
        <v>101</v>
      </c>
      <c r="H82" t="s">
        <v>102</v>
      </c>
      <c r="I82" t="s">
        <v>104</v>
      </c>
      <c r="J82" t="s">
        <v>105</v>
      </c>
      <c r="K82" t="s">
        <v>106</v>
      </c>
      <c r="L82" t="s">
        <v>108</v>
      </c>
      <c r="M82" t="s">
        <v>109</v>
      </c>
    </row>
    <row r="83" spans="1:13" x14ac:dyDescent="0.35">
      <c r="A83" t="s">
        <v>91</v>
      </c>
      <c r="B83">
        <v>1</v>
      </c>
      <c r="C83">
        <v>0.35</v>
      </c>
      <c r="D83">
        <v>0.35</v>
      </c>
      <c r="E83">
        <v>0.65</v>
      </c>
      <c r="F83">
        <v>0.22750000000000001</v>
      </c>
      <c r="G83">
        <v>0.22750000000000001</v>
      </c>
      <c r="H83">
        <v>0.65</v>
      </c>
      <c r="I83">
        <v>0.22750000000000001</v>
      </c>
      <c r="J83">
        <v>0.22750000000000001</v>
      </c>
      <c r="K83">
        <v>0.22750000000000001</v>
      </c>
      <c r="L83">
        <v>0.22750000000000001</v>
      </c>
      <c r="M83">
        <v>0.22750000000000001</v>
      </c>
    </row>
    <row r="84" spans="1:13" x14ac:dyDescent="0.35">
      <c r="A84" t="s">
        <v>94</v>
      </c>
      <c r="B84">
        <v>0.35</v>
      </c>
      <c r="C84">
        <v>1</v>
      </c>
      <c r="D84">
        <v>0.35</v>
      </c>
      <c r="E84">
        <v>0.22750000000000001</v>
      </c>
      <c r="F84">
        <v>0.65</v>
      </c>
      <c r="G84">
        <v>0.22750000000000001</v>
      </c>
      <c r="H84">
        <v>0.22750000000000001</v>
      </c>
      <c r="I84">
        <v>0.65</v>
      </c>
      <c r="J84">
        <v>0.22750000000000001</v>
      </c>
      <c r="K84">
        <v>0.65</v>
      </c>
      <c r="L84">
        <v>0.22750000000000001</v>
      </c>
      <c r="M84">
        <v>0.65</v>
      </c>
    </row>
    <row r="85" spans="1:13" x14ac:dyDescent="0.35">
      <c r="A85" t="s">
        <v>96</v>
      </c>
      <c r="B85">
        <v>0.35</v>
      </c>
      <c r="C85">
        <v>0.35</v>
      </c>
      <c r="D85">
        <v>1</v>
      </c>
      <c r="E85">
        <v>0.22750000000000001</v>
      </c>
      <c r="F85">
        <v>0.22750000000000001</v>
      </c>
      <c r="G85">
        <v>0.65</v>
      </c>
      <c r="H85">
        <v>0.22750000000000001</v>
      </c>
      <c r="I85">
        <v>0.22750000000000001</v>
      </c>
      <c r="J85">
        <v>0.65</v>
      </c>
      <c r="K85">
        <v>0.22750000000000001</v>
      </c>
      <c r="L85">
        <v>0.65</v>
      </c>
      <c r="M85">
        <v>0.22750000000000001</v>
      </c>
    </row>
    <row r="86" spans="1:13" x14ac:dyDescent="0.35">
      <c r="A86" t="s">
        <v>98</v>
      </c>
      <c r="B86">
        <v>0.65</v>
      </c>
      <c r="C86">
        <v>0.22750000000000001</v>
      </c>
      <c r="D86">
        <v>0.22750000000000001</v>
      </c>
      <c r="E86">
        <v>1</v>
      </c>
      <c r="F86">
        <v>0.35</v>
      </c>
      <c r="G86">
        <v>0.35</v>
      </c>
      <c r="H86">
        <v>0.65</v>
      </c>
      <c r="I86">
        <v>0.22750000000000001</v>
      </c>
      <c r="J86">
        <v>0.22750000000000001</v>
      </c>
      <c r="K86">
        <v>0.22750000000000001</v>
      </c>
      <c r="L86">
        <v>0.22750000000000001</v>
      </c>
      <c r="M86">
        <v>0.22750000000000001</v>
      </c>
    </row>
    <row r="87" spans="1:13" x14ac:dyDescent="0.35">
      <c r="A87" t="s">
        <v>100</v>
      </c>
      <c r="B87">
        <v>0.22750000000000001</v>
      </c>
      <c r="C87">
        <v>0.65</v>
      </c>
      <c r="D87">
        <v>0.22750000000000001</v>
      </c>
      <c r="E87">
        <v>0.35</v>
      </c>
      <c r="F87">
        <v>1</v>
      </c>
      <c r="G87">
        <v>0.35</v>
      </c>
      <c r="H87">
        <v>0.22750000000000001</v>
      </c>
      <c r="I87">
        <v>0.65</v>
      </c>
      <c r="J87">
        <v>0.22750000000000001</v>
      </c>
      <c r="K87">
        <v>0.65</v>
      </c>
      <c r="L87">
        <v>0.22750000000000001</v>
      </c>
      <c r="M87">
        <v>0.65</v>
      </c>
    </row>
    <row r="88" spans="1:13" x14ac:dyDescent="0.35">
      <c r="A88" t="s">
        <v>101</v>
      </c>
      <c r="B88">
        <v>0.22750000000000001</v>
      </c>
      <c r="C88">
        <v>0.22750000000000001</v>
      </c>
      <c r="D88">
        <v>0.65</v>
      </c>
      <c r="E88">
        <v>0.35</v>
      </c>
      <c r="F88">
        <v>0.35</v>
      </c>
      <c r="G88">
        <v>1</v>
      </c>
      <c r="H88">
        <v>0.22750000000000001</v>
      </c>
      <c r="I88">
        <v>0.22750000000000001</v>
      </c>
      <c r="J88">
        <v>0.65</v>
      </c>
      <c r="K88">
        <v>0.22750000000000001</v>
      </c>
      <c r="L88">
        <v>0.65</v>
      </c>
      <c r="M88">
        <v>0.22750000000000001</v>
      </c>
    </row>
    <row r="89" spans="1:13" x14ac:dyDescent="0.35">
      <c r="A89" t="s">
        <v>102</v>
      </c>
      <c r="B89">
        <v>0.65</v>
      </c>
      <c r="C89">
        <v>0.22750000000000001</v>
      </c>
      <c r="D89">
        <v>0.22750000000000001</v>
      </c>
      <c r="E89">
        <v>0.65</v>
      </c>
      <c r="F89">
        <v>0.22750000000000001</v>
      </c>
      <c r="G89">
        <v>0.22750000000000001</v>
      </c>
      <c r="H89">
        <v>1</v>
      </c>
      <c r="I89">
        <v>0.35</v>
      </c>
      <c r="J89">
        <v>0.35</v>
      </c>
      <c r="K89">
        <v>0.22750000000000001</v>
      </c>
      <c r="L89">
        <v>0.22750000000000001</v>
      </c>
      <c r="M89">
        <v>0.22750000000000001</v>
      </c>
    </row>
    <row r="90" spans="1:13" x14ac:dyDescent="0.35">
      <c r="A90" t="s">
        <v>104</v>
      </c>
      <c r="B90">
        <v>0.22750000000000001</v>
      </c>
      <c r="C90">
        <v>0.65</v>
      </c>
      <c r="D90">
        <v>0.22750000000000001</v>
      </c>
      <c r="E90">
        <v>0.22750000000000001</v>
      </c>
      <c r="F90">
        <v>0.65</v>
      </c>
      <c r="G90">
        <v>0.22750000000000001</v>
      </c>
      <c r="H90">
        <v>0.35</v>
      </c>
      <c r="I90">
        <v>1</v>
      </c>
      <c r="J90">
        <v>0.35</v>
      </c>
      <c r="K90">
        <v>0.65</v>
      </c>
      <c r="L90">
        <v>0.22750000000000001</v>
      </c>
      <c r="M90">
        <v>0.65</v>
      </c>
    </row>
    <row r="91" spans="1:13" x14ac:dyDescent="0.35">
      <c r="A91" t="s">
        <v>105</v>
      </c>
      <c r="B91">
        <v>0.22750000000000001</v>
      </c>
      <c r="C91">
        <v>0.22750000000000001</v>
      </c>
      <c r="D91">
        <v>0.65</v>
      </c>
      <c r="E91">
        <v>0.22750000000000001</v>
      </c>
      <c r="F91">
        <v>0.22750000000000001</v>
      </c>
      <c r="G91">
        <v>0.65</v>
      </c>
      <c r="H91">
        <v>0.35</v>
      </c>
      <c r="I91">
        <v>0.35</v>
      </c>
      <c r="J91">
        <v>1</v>
      </c>
      <c r="K91">
        <v>0.22750000000000001</v>
      </c>
      <c r="L91">
        <v>0.65</v>
      </c>
      <c r="M91">
        <v>0.22750000000000001</v>
      </c>
    </row>
    <row r="92" spans="1:13" x14ac:dyDescent="0.35">
      <c r="A92" t="s">
        <v>106</v>
      </c>
      <c r="B92">
        <v>0.22750000000000001</v>
      </c>
      <c r="C92">
        <v>0.65</v>
      </c>
      <c r="D92">
        <v>0.22750000000000001</v>
      </c>
      <c r="E92">
        <v>0.22750000000000001</v>
      </c>
      <c r="F92">
        <v>0.65</v>
      </c>
      <c r="G92">
        <v>0.22750000000000001</v>
      </c>
      <c r="H92">
        <v>0.22750000000000001</v>
      </c>
      <c r="I92">
        <v>0.65</v>
      </c>
      <c r="J92">
        <v>0.22750000000000001</v>
      </c>
      <c r="K92">
        <v>1</v>
      </c>
      <c r="L92">
        <v>0.35</v>
      </c>
      <c r="M92">
        <v>0.65</v>
      </c>
    </row>
    <row r="93" spans="1:13" x14ac:dyDescent="0.35">
      <c r="A93" t="s">
        <v>108</v>
      </c>
      <c r="B93">
        <v>0.22750000000000001</v>
      </c>
      <c r="C93">
        <v>0.22750000000000001</v>
      </c>
      <c r="D93">
        <v>0.65</v>
      </c>
      <c r="E93">
        <v>0.22750000000000001</v>
      </c>
      <c r="F93">
        <v>0.22750000000000001</v>
      </c>
      <c r="G93">
        <v>0.65</v>
      </c>
      <c r="H93">
        <v>0.22750000000000001</v>
      </c>
      <c r="I93">
        <v>0.22750000000000001</v>
      </c>
      <c r="J93">
        <v>0.65</v>
      </c>
      <c r="K93">
        <v>0.35</v>
      </c>
      <c r="L93">
        <v>1</v>
      </c>
      <c r="M93">
        <v>0.22750000000000001</v>
      </c>
    </row>
    <row r="94" spans="1:13" x14ac:dyDescent="0.35">
      <c r="A94" t="s">
        <v>109</v>
      </c>
      <c r="B94">
        <v>0.22750000000000001</v>
      </c>
      <c r="C94">
        <v>0.65</v>
      </c>
      <c r="D94">
        <v>0.22750000000000001</v>
      </c>
      <c r="E94">
        <v>0.22750000000000001</v>
      </c>
      <c r="F94">
        <v>0.65</v>
      </c>
      <c r="G94">
        <v>0.22750000000000001</v>
      </c>
      <c r="H94">
        <v>0.22750000000000001</v>
      </c>
      <c r="I94">
        <v>0.65</v>
      </c>
      <c r="J94">
        <v>0.22750000000000001</v>
      </c>
      <c r="K94">
        <v>0.65</v>
      </c>
      <c r="L94">
        <v>0.22750000000000001</v>
      </c>
      <c r="M94">
        <v>1</v>
      </c>
    </row>
    <row r="97" spans="1:22" x14ac:dyDescent="0.35">
      <c r="A97" t="s">
        <v>374</v>
      </c>
    </row>
    <row r="98" spans="1:22" x14ac:dyDescent="0.35">
      <c r="B98" t="s">
        <v>111</v>
      </c>
      <c r="C98" t="s">
        <v>114</v>
      </c>
      <c r="D98" t="s">
        <v>116</v>
      </c>
      <c r="E98" t="s">
        <v>118</v>
      </c>
      <c r="F98" t="s">
        <v>120</v>
      </c>
      <c r="G98" t="s">
        <v>122</v>
      </c>
      <c r="H98" t="s">
        <v>124</v>
      </c>
      <c r="I98" t="s">
        <v>126</v>
      </c>
      <c r="J98" t="s">
        <v>127</v>
      </c>
      <c r="K98" t="s">
        <v>128</v>
      </c>
      <c r="L98" t="s">
        <v>129</v>
      </c>
      <c r="M98" t="s">
        <v>130</v>
      </c>
      <c r="N98" t="s">
        <v>131</v>
      </c>
      <c r="O98" t="s">
        <v>133</v>
      </c>
      <c r="P98" t="s">
        <v>134</v>
      </c>
      <c r="Q98" t="s">
        <v>135</v>
      </c>
      <c r="R98" t="s">
        <v>136</v>
      </c>
      <c r="S98" t="s">
        <v>137</v>
      </c>
      <c r="T98" t="s">
        <v>138</v>
      </c>
      <c r="U98" t="s">
        <v>140</v>
      </c>
      <c r="V98" t="s">
        <v>141</v>
      </c>
    </row>
    <row r="99" spans="1:22" x14ac:dyDescent="0.35">
      <c r="A99" t="s">
        <v>111</v>
      </c>
      <c r="B99">
        <v>1</v>
      </c>
      <c r="C99">
        <v>0.35</v>
      </c>
      <c r="D99">
        <v>0.35</v>
      </c>
      <c r="E99">
        <v>0.35</v>
      </c>
      <c r="F99">
        <v>0.35</v>
      </c>
      <c r="G99">
        <v>0.35</v>
      </c>
      <c r="H99">
        <v>0.65</v>
      </c>
      <c r="I99">
        <v>0.22750000000000001</v>
      </c>
      <c r="J99">
        <v>0.22750000000000001</v>
      </c>
      <c r="K99">
        <v>0.22750000000000001</v>
      </c>
      <c r="L99">
        <v>0.22750000000000001</v>
      </c>
      <c r="M99">
        <v>0.22750000000000001</v>
      </c>
      <c r="N99">
        <v>0.65</v>
      </c>
      <c r="O99">
        <v>0.22750000000000001</v>
      </c>
      <c r="P99">
        <v>0.22750000000000001</v>
      </c>
      <c r="Q99">
        <v>0.22750000000000001</v>
      </c>
      <c r="R99">
        <v>0.22750000000000001</v>
      </c>
      <c r="S99">
        <v>0.22750000000000001</v>
      </c>
      <c r="T99">
        <v>0.22750000000000001</v>
      </c>
      <c r="U99">
        <v>0.22750000000000001</v>
      </c>
      <c r="V99">
        <v>0.22750000000000001</v>
      </c>
    </row>
    <row r="100" spans="1:22" x14ac:dyDescent="0.35">
      <c r="A100" t="s">
        <v>114</v>
      </c>
      <c r="B100">
        <v>0.35</v>
      </c>
      <c r="C100">
        <v>1</v>
      </c>
      <c r="D100">
        <v>0.35</v>
      </c>
      <c r="E100">
        <v>0.35</v>
      </c>
      <c r="F100">
        <v>0.35</v>
      </c>
      <c r="G100">
        <v>0.35</v>
      </c>
      <c r="H100">
        <v>0.22750000000000001</v>
      </c>
      <c r="I100">
        <v>0.65</v>
      </c>
      <c r="J100">
        <v>0.22750000000000001</v>
      </c>
      <c r="K100">
        <v>0.22750000000000001</v>
      </c>
      <c r="L100">
        <v>0.22750000000000001</v>
      </c>
      <c r="M100">
        <v>0.22750000000000001</v>
      </c>
      <c r="N100">
        <v>0.22750000000000001</v>
      </c>
      <c r="O100">
        <v>0.65</v>
      </c>
      <c r="P100">
        <v>0.22750000000000001</v>
      </c>
      <c r="Q100">
        <v>0.22750000000000001</v>
      </c>
      <c r="R100">
        <v>0.22750000000000001</v>
      </c>
      <c r="S100">
        <v>0.22750000000000001</v>
      </c>
      <c r="T100">
        <v>0.22750000000000001</v>
      </c>
      <c r="U100">
        <v>0.22750000000000001</v>
      </c>
      <c r="V100">
        <v>0.22750000000000001</v>
      </c>
    </row>
    <row r="101" spans="1:22" x14ac:dyDescent="0.35">
      <c r="A101" t="s">
        <v>116</v>
      </c>
      <c r="B101">
        <v>0.35</v>
      </c>
      <c r="C101">
        <v>0.35</v>
      </c>
      <c r="D101">
        <v>1</v>
      </c>
      <c r="E101">
        <v>0.35</v>
      </c>
      <c r="F101">
        <v>0.35</v>
      </c>
      <c r="G101">
        <v>0.35</v>
      </c>
      <c r="H101">
        <v>0.22750000000000001</v>
      </c>
      <c r="I101">
        <v>0.22750000000000001</v>
      </c>
      <c r="J101">
        <v>0.65</v>
      </c>
      <c r="K101">
        <v>0.22750000000000001</v>
      </c>
      <c r="L101">
        <v>0.22750000000000001</v>
      </c>
      <c r="M101">
        <v>0.22750000000000001</v>
      </c>
      <c r="N101">
        <v>0.22750000000000001</v>
      </c>
      <c r="O101">
        <v>0.22750000000000001</v>
      </c>
      <c r="P101">
        <v>0.65</v>
      </c>
      <c r="Q101">
        <v>0.22750000000000001</v>
      </c>
      <c r="R101">
        <v>0.22750000000000001</v>
      </c>
      <c r="S101">
        <v>0.22750000000000001</v>
      </c>
      <c r="T101">
        <v>0.65</v>
      </c>
      <c r="U101">
        <v>0.22750000000000001</v>
      </c>
      <c r="V101">
        <v>0.22750000000000001</v>
      </c>
    </row>
    <row r="102" spans="1:22" x14ac:dyDescent="0.35">
      <c r="A102" t="s">
        <v>118</v>
      </c>
      <c r="B102">
        <v>0.35</v>
      </c>
      <c r="C102">
        <v>0.35</v>
      </c>
      <c r="D102">
        <v>0.35</v>
      </c>
      <c r="E102">
        <v>1</v>
      </c>
      <c r="F102">
        <v>0.35</v>
      </c>
      <c r="G102">
        <v>0.35</v>
      </c>
      <c r="H102">
        <v>0.22750000000000001</v>
      </c>
      <c r="I102">
        <v>0.22750000000000001</v>
      </c>
      <c r="J102">
        <v>0.22750000000000001</v>
      </c>
      <c r="K102">
        <v>0.65</v>
      </c>
      <c r="L102">
        <v>0.22750000000000001</v>
      </c>
      <c r="M102">
        <v>0.22750000000000001</v>
      </c>
      <c r="N102">
        <v>0.22750000000000001</v>
      </c>
      <c r="O102">
        <v>0.22750000000000001</v>
      </c>
      <c r="P102">
        <v>0.22750000000000001</v>
      </c>
      <c r="Q102">
        <v>0.65</v>
      </c>
      <c r="R102">
        <v>0.22750000000000001</v>
      </c>
      <c r="S102">
        <v>0.22750000000000001</v>
      </c>
      <c r="T102">
        <v>0.22750000000000001</v>
      </c>
      <c r="U102">
        <v>0.22750000000000001</v>
      </c>
      <c r="V102">
        <v>0.22750000000000001</v>
      </c>
    </row>
    <row r="103" spans="1:22" x14ac:dyDescent="0.35">
      <c r="A103" t="s">
        <v>120</v>
      </c>
      <c r="B103">
        <v>0.35</v>
      </c>
      <c r="C103">
        <v>0.35</v>
      </c>
      <c r="D103">
        <v>0.35</v>
      </c>
      <c r="E103">
        <v>0.35</v>
      </c>
      <c r="F103">
        <v>1</v>
      </c>
      <c r="G103">
        <v>0.35</v>
      </c>
      <c r="H103">
        <v>0.22750000000000001</v>
      </c>
      <c r="I103">
        <v>0.22750000000000001</v>
      </c>
      <c r="J103">
        <v>0.22750000000000001</v>
      </c>
      <c r="K103">
        <v>0.22750000000000001</v>
      </c>
      <c r="L103">
        <v>0.65</v>
      </c>
      <c r="M103">
        <v>0.22750000000000001</v>
      </c>
      <c r="N103">
        <v>0.22750000000000001</v>
      </c>
      <c r="O103">
        <v>0.22750000000000001</v>
      </c>
      <c r="P103">
        <v>0.22750000000000001</v>
      </c>
      <c r="Q103">
        <v>0.22750000000000001</v>
      </c>
      <c r="R103">
        <v>0.65</v>
      </c>
      <c r="S103">
        <v>0.22750000000000001</v>
      </c>
      <c r="T103">
        <v>0.22750000000000001</v>
      </c>
      <c r="U103">
        <v>0.65</v>
      </c>
      <c r="V103">
        <v>0.22750000000000001</v>
      </c>
    </row>
    <row r="104" spans="1:22" x14ac:dyDescent="0.35">
      <c r="A104" t="s">
        <v>122</v>
      </c>
      <c r="B104">
        <v>0.35</v>
      </c>
      <c r="C104">
        <v>0.35</v>
      </c>
      <c r="D104">
        <v>0.35</v>
      </c>
      <c r="E104">
        <v>0.35</v>
      </c>
      <c r="F104">
        <v>0.35</v>
      </c>
      <c r="G104">
        <v>1</v>
      </c>
      <c r="H104">
        <v>0.22750000000000001</v>
      </c>
      <c r="I104">
        <v>0.22750000000000001</v>
      </c>
      <c r="J104">
        <v>0.22750000000000001</v>
      </c>
      <c r="K104">
        <v>0.22750000000000001</v>
      </c>
      <c r="L104">
        <v>0.22750000000000001</v>
      </c>
      <c r="M104">
        <v>0.65</v>
      </c>
      <c r="N104">
        <v>0.22750000000000001</v>
      </c>
      <c r="O104">
        <v>0.22750000000000001</v>
      </c>
      <c r="P104">
        <v>0.22750000000000001</v>
      </c>
      <c r="Q104">
        <v>0.22750000000000001</v>
      </c>
      <c r="R104">
        <v>0.22750000000000001</v>
      </c>
      <c r="S104">
        <v>0.65</v>
      </c>
      <c r="T104">
        <v>0.22750000000000001</v>
      </c>
      <c r="U104">
        <v>0.22750000000000001</v>
      </c>
      <c r="V104">
        <v>0.65</v>
      </c>
    </row>
    <row r="105" spans="1:22" x14ac:dyDescent="0.35">
      <c r="A105" t="s">
        <v>124</v>
      </c>
      <c r="B105">
        <v>0.65</v>
      </c>
      <c r="C105">
        <v>0.22750000000000001</v>
      </c>
      <c r="D105">
        <v>0.22750000000000001</v>
      </c>
      <c r="E105">
        <v>0.22750000000000001</v>
      </c>
      <c r="F105">
        <v>0.22750000000000001</v>
      </c>
      <c r="G105">
        <v>0.22750000000000001</v>
      </c>
      <c r="H105">
        <v>1</v>
      </c>
      <c r="I105">
        <v>0.35</v>
      </c>
      <c r="J105">
        <v>0.35</v>
      </c>
      <c r="K105">
        <v>0.35</v>
      </c>
      <c r="L105">
        <v>0.35</v>
      </c>
      <c r="M105">
        <v>0.35</v>
      </c>
      <c r="N105">
        <v>0.65</v>
      </c>
      <c r="O105">
        <v>0.22750000000000001</v>
      </c>
      <c r="P105">
        <v>0.22750000000000001</v>
      </c>
      <c r="Q105">
        <v>0.22750000000000001</v>
      </c>
      <c r="R105">
        <v>0.22750000000000001</v>
      </c>
      <c r="S105">
        <v>0.22750000000000001</v>
      </c>
      <c r="T105">
        <v>0.22750000000000001</v>
      </c>
      <c r="U105">
        <v>0.22750000000000001</v>
      </c>
      <c r="V105">
        <v>0.22750000000000001</v>
      </c>
    </row>
    <row r="106" spans="1:22" x14ac:dyDescent="0.35">
      <c r="A106" t="s">
        <v>126</v>
      </c>
      <c r="B106">
        <v>0.22750000000000001</v>
      </c>
      <c r="C106">
        <v>0.65</v>
      </c>
      <c r="D106">
        <v>0.22750000000000001</v>
      </c>
      <c r="E106">
        <v>0.22750000000000001</v>
      </c>
      <c r="F106">
        <v>0.22750000000000001</v>
      </c>
      <c r="G106">
        <v>0.22750000000000001</v>
      </c>
      <c r="H106">
        <v>0.35</v>
      </c>
      <c r="I106">
        <v>1</v>
      </c>
      <c r="J106">
        <v>0.35</v>
      </c>
      <c r="K106">
        <v>0.35</v>
      </c>
      <c r="L106">
        <v>0.35</v>
      </c>
      <c r="M106">
        <v>0.35</v>
      </c>
      <c r="N106">
        <v>0.22750000000000001</v>
      </c>
      <c r="O106">
        <v>0.65</v>
      </c>
      <c r="P106">
        <v>0.22750000000000001</v>
      </c>
      <c r="Q106">
        <v>0.22750000000000001</v>
      </c>
      <c r="R106">
        <v>0.22750000000000001</v>
      </c>
      <c r="S106">
        <v>0.22750000000000001</v>
      </c>
      <c r="T106">
        <v>0.22750000000000001</v>
      </c>
      <c r="U106">
        <v>0.22750000000000001</v>
      </c>
      <c r="V106">
        <v>0.22750000000000001</v>
      </c>
    </row>
    <row r="107" spans="1:22" x14ac:dyDescent="0.35">
      <c r="A107" t="s">
        <v>127</v>
      </c>
      <c r="B107">
        <v>0.22750000000000001</v>
      </c>
      <c r="C107">
        <v>0.22750000000000001</v>
      </c>
      <c r="D107">
        <v>0.65</v>
      </c>
      <c r="E107">
        <v>0.22750000000000001</v>
      </c>
      <c r="F107">
        <v>0.22750000000000001</v>
      </c>
      <c r="G107">
        <v>0.22750000000000001</v>
      </c>
      <c r="H107">
        <v>0.35</v>
      </c>
      <c r="I107">
        <v>0.35</v>
      </c>
      <c r="J107">
        <v>1</v>
      </c>
      <c r="K107">
        <v>0.35</v>
      </c>
      <c r="L107">
        <v>0.35</v>
      </c>
      <c r="M107">
        <v>0.35</v>
      </c>
      <c r="N107">
        <v>0.22750000000000001</v>
      </c>
      <c r="O107">
        <v>0.22750000000000001</v>
      </c>
      <c r="P107">
        <v>0.65</v>
      </c>
      <c r="Q107">
        <v>0.22750000000000001</v>
      </c>
      <c r="R107">
        <v>0.22750000000000001</v>
      </c>
      <c r="S107">
        <v>0.22750000000000001</v>
      </c>
      <c r="T107">
        <v>0.65</v>
      </c>
      <c r="U107">
        <v>0.22750000000000001</v>
      </c>
      <c r="V107">
        <v>0.22750000000000001</v>
      </c>
    </row>
    <row r="108" spans="1:22" x14ac:dyDescent="0.35">
      <c r="A108" t="s">
        <v>128</v>
      </c>
      <c r="B108">
        <v>0.22750000000000001</v>
      </c>
      <c r="C108">
        <v>0.22750000000000001</v>
      </c>
      <c r="D108">
        <v>0.22750000000000001</v>
      </c>
      <c r="E108">
        <v>0.65</v>
      </c>
      <c r="F108">
        <v>0.22750000000000001</v>
      </c>
      <c r="G108">
        <v>0.22750000000000001</v>
      </c>
      <c r="H108">
        <v>0.35</v>
      </c>
      <c r="I108">
        <v>0.35</v>
      </c>
      <c r="J108">
        <v>0.35</v>
      </c>
      <c r="K108">
        <v>1</v>
      </c>
      <c r="L108">
        <v>0.35</v>
      </c>
      <c r="M108">
        <v>0.35</v>
      </c>
      <c r="N108">
        <v>0.22750000000000001</v>
      </c>
      <c r="O108">
        <v>0.22750000000000001</v>
      </c>
      <c r="P108">
        <v>0.22750000000000001</v>
      </c>
      <c r="Q108">
        <v>0.65</v>
      </c>
      <c r="R108">
        <v>0.22750000000000001</v>
      </c>
      <c r="S108">
        <v>0.22750000000000001</v>
      </c>
      <c r="T108">
        <v>0.22750000000000001</v>
      </c>
      <c r="U108">
        <v>0.22750000000000001</v>
      </c>
      <c r="V108">
        <v>0.22750000000000001</v>
      </c>
    </row>
    <row r="109" spans="1:22" x14ac:dyDescent="0.35">
      <c r="A109" t="s">
        <v>129</v>
      </c>
      <c r="B109">
        <v>0.22750000000000001</v>
      </c>
      <c r="C109">
        <v>0.22750000000000001</v>
      </c>
      <c r="D109">
        <v>0.22750000000000001</v>
      </c>
      <c r="E109">
        <v>0.22750000000000001</v>
      </c>
      <c r="F109">
        <v>0.65</v>
      </c>
      <c r="G109">
        <v>0.22750000000000001</v>
      </c>
      <c r="H109">
        <v>0.35</v>
      </c>
      <c r="I109">
        <v>0.35</v>
      </c>
      <c r="J109">
        <v>0.35</v>
      </c>
      <c r="K109">
        <v>0.35</v>
      </c>
      <c r="L109">
        <v>1</v>
      </c>
      <c r="M109">
        <v>0.35</v>
      </c>
      <c r="N109">
        <v>0.22750000000000001</v>
      </c>
      <c r="O109">
        <v>0.22750000000000001</v>
      </c>
      <c r="P109">
        <v>0.22750000000000001</v>
      </c>
      <c r="Q109">
        <v>0.22750000000000001</v>
      </c>
      <c r="R109">
        <v>0.65</v>
      </c>
      <c r="S109">
        <v>0.22750000000000001</v>
      </c>
      <c r="T109">
        <v>0.22750000000000001</v>
      </c>
      <c r="U109">
        <v>0.65</v>
      </c>
      <c r="V109">
        <v>0.22750000000000001</v>
      </c>
    </row>
    <row r="110" spans="1:22" x14ac:dyDescent="0.35">
      <c r="A110" t="s">
        <v>130</v>
      </c>
      <c r="B110">
        <v>0.22750000000000001</v>
      </c>
      <c r="C110">
        <v>0.22750000000000001</v>
      </c>
      <c r="D110">
        <v>0.22750000000000001</v>
      </c>
      <c r="E110">
        <v>0.22750000000000001</v>
      </c>
      <c r="F110">
        <v>0.22750000000000001</v>
      </c>
      <c r="G110">
        <v>0.65</v>
      </c>
      <c r="H110">
        <v>0.35</v>
      </c>
      <c r="I110">
        <v>0.35</v>
      </c>
      <c r="J110">
        <v>0.35</v>
      </c>
      <c r="K110">
        <v>0.35</v>
      </c>
      <c r="L110">
        <v>0.35</v>
      </c>
      <c r="M110">
        <v>1</v>
      </c>
      <c r="N110">
        <v>0.22750000000000001</v>
      </c>
      <c r="O110">
        <v>0.22750000000000001</v>
      </c>
      <c r="P110">
        <v>0.22750000000000001</v>
      </c>
      <c r="Q110">
        <v>0.22750000000000001</v>
      </c>
      <c r="R110">
        <v>0.22750000000000001</v>
      </c>
      <c r="S110">
        <v>0.65</v>
      </c>
      <c r="T110">
        <v>0.22750000000000001</v>
      </c>
      <c r="U110">
        <v>0.22750000000000001</v>
      </c>
      <c r="V110">
        <v>0.65</v>
      </c>
    </row>
    <row r="111" spans="1:22" x14ac:dyDescent="0.35">
      <c r="A111" t="s">
        <v>131</v>
      </c>
      <c r="B111">
        <v>0.65</v>
      </c>
      <c r="C111">
        <v>0.22750000000000001</v>
      </c>
      <c r="D111">
        <v>0.22750000000000001</v>
      </c>
      <c r="E111">
        <v>0.22750000000000001</v>
      </c>
      <c r="F111">
        <v>0.22750000000000001</v>
      </c>
      <c r="G111">
        <v>0.22750000000000001</v>
      </c>
      <c r="H111">
        <v>0.65</v>
      </c>
      <c r="I111">
        <v>0.22750000000000001</v>
      </c>
      <c r="J111">
        <v>0.22750000000000001</v>
      </c>
      <c r="K111">
        <v>0.22750000000000001</v>
      </c>
      <c r="L111">
        <v>0.22750000000000001</v>
      </c>
      <c r="M111">
        <v>0.22750000000000001</v>
      </c>
      <c r="N111">
        <v>1</v>
      </c>
      <c r="O111">
        <v>0.35</v>
      </c>
      <c r="P111">
        <v>0.35</v>
      </c>
      <c r="Q111">
        <v>0.35</v>
      </c>
      <c r="R111">
        <v>0.35</v>
      </c>
      <c r="S111">
        <v>0.35</v>
      </c>
      <c r="T111">
        <v>0.22750000000000001</v>
      </c>
      <c r="U111">
        <v>0.22750000000000001</v>
      </c>
      <c r="V111">
        <v>0.22750000000000001</v>
      </c>
    </row>
    <row r="112" spans="1:22" x14ac:dyDescent="0.35">
      <c r="A112" t="s">
        <v>133</v>
      </c>
      <c r="B112">
        <v>0.22750000000000001</v>
      </c>
      <c r="C112">
        <v>0.65</v>
      </c>
      <c r="D112">
        <v>0.22750000000000001</v>
      </c>
      <c r="E112">
        <v>0.22750000000000001</v>
      </c>
      <c r="F112">
        <v>0.22750000000000001</v>
      </c>
      <c r="G112">
        <v>0.22750000000000001</v>
      </c>
      <c r="H112">
        <v>0.22750000000000001</v>
      </c>
      <c r="I112">
        <v>0.65</v>
      </c>
      <c r="J112">
        <v>0.22750000000000001</v>
      </c>
      <c r="K112">
        <v>0.22750000000000001</v>
      </c>
      <c r="L112">
        <v>0.22750000000000001</v>
      </c>
      <c r="M112">
        <v>0.22750000000000001</v>
      </c>
      <c r="N112">
        <v>0.35</v>
      </c>
      <c r="O112">
        <v>1</v>
      </c>
      <c r="P112">
        <v>0.35</v>
      </c>
      <c r="Q112">
        <v>0.35</v>
      </c>
      <c r="R112">
        <v>0.35</v>
      </c>
      <c r="S112">
        <v>0.35</v>
      </c>
      <c r="T112">
        <v>0.22750000000000001</v>
      </c>
      <c r="U112">
        <v>0.22750000000000001</v>
      </c>
      <c r="V112">
        <v>0.22750000000000001</v>
      </c>
    </row>
    <row r="113" spans="1:22" x14ac:dyDescent="0.35">
      <c r="A113" t="s">
        <v>134</v>
      </c>
      <c r="B113">
        <v>0.22750000000000001</v>
      </c>
      <c r="C113">
        <v>0.22750000000000001</v>
      </c>
      <c r="D113">
        <v>0.65</v>
      </c>
      <c r="E113">
        <v>0.22750000000000001</v>
      </c>
      <c r="F113">
        <v>0.22750000000000001</v>
      </c>
      <c r="G113">
        <v>0.22750000000000001</v>
      </c>
      <c r="H113">
        <v>0.22750000000000001</v>
      </c>
      <c r="I113">
        <v>0.22750000000000001</v>
      </c>
      <c r="J113">
        <v>0.65</v>
      </c>
      <c r="K113">
        <v>0.22750000000000001</v>
      </c>
      <c r="L113">
        <v>0.22750000000000001</v>
      </c>
      <c r="M113">
        <v>0.22750000000000001</v>
      </c>
      <c r="N113">
        <v>0.35</v>
      </c>
      <c r="O113">
        <v>0.35</v>
      </c>
      <c r="P113">
        <v>1</v>
      </c>
      <c r="Q113">
        <v>0.35</v>
      </c>
      <c r="R113">
        <v>0.35</v>
      </c>
      <c r="S113">
        <v>0.35</v>
      </c>
      <c r="T113">
        <v>0.65</v>
      </c>
      <c r="U113">
        <v>0.22750000000000001</v>
      </c>
      <c r="V113">
        <v>0.22750000000000001</v>
      </c>
    </row>
    <row r="114" spans="1:22" x14ac:dyDescent="0.35">
      <c r="A114" t="s">
        <v>135</v>
      </c>
      <c r="B114">
        <v>0.22750000000000001</v>
      </c>
      <c r="C114">
        <v>0.22750000000000001</v>
      </c>
      <c r="D114">
        <v>0.22750000000000001</v>
      </c>
      <c r="E114">
        <v>0.65</v>
      </c>
      <c r="F114">
        <v>0.22750000000000001</v>
      </c>
      <c r="G114">
        <v>0.22750000000000001</v>
      </c>
      <c r="H114">
        <v>0.22750000000000001</v>
      </c>
      <c r="I114">
        <v>0.22750000000000001</v>
      </c>
      <c r="J114">
        <v>0.22750000000000001</v>
      </c>
      <c r="K114">
        <v>0.65</v>
      </c>
      <c r="L114">
        <v>0.22750000000000001</v>
      </c>
      <c r="M114">
        <v>0.22750000000000001</v>
      </c>
      <c r="N114">
        <v>0.35</v>
      </c>
      <c r="O114">
        <v>0.35</v>
      </c>
      <c r="P114">
        <v>0.35</v>
      </c>
      <c r="Q114">
        <v>1</v>
      </c>
      <c r="R114">
        <v>0.35</v>
      </c>
      <c r="S114">
        <v>0.35</v>
      </c>
      <c r="T114">
        <v>0.22750000000000001</v>
      </c>
      <c r="U114">
        <v>0.22750000000000001</v>
      </c>
      <c r="V114">
        <v>0.22750000000000001</v>
      </c>
    </row>
    <row r="115" spans="1:22" x14ac:dyDescent="0.35">
      <c r="A115" t="s">
        <v>136</v>
      </c>
      <c r="B115">
        <v>0.22750000000000001</v>
      </c>
      <c r="C115">
        <v>0.22750000000000001</v>
      </c>
      <c r="D115">
        <v>0.22750000000000001</v>
      </c>
      <c r="E115">
        <v>0.22750000000000001</v>
      </c>
      <c r="F115">
        <v>0.65</v>
      </c>
      <c r="G115">
        <v>0.22750000000000001</v>
      </c>
      <c r="H115">
        <v>0.22750000000000001</v>
      </c>
      <c r="I115">
        <v>0.22750000000000001</v>
      </c>
      <c r="J115">
        <v>0.22750000000000001</v>
      </c>
      <c r="K115">
        <v>0.22750000000000001</v>
      </c>
      <c r="L115">
        <v>0.65</v>
      </c>
      <c r="M115">
        <v>0.22750000000000001</v>
      </c>
      <c r="N115">
        <v>0.35</v>
      </c>
      <c r="O115">
        <v>0.35</v>
      </c>
      <c r="P115">
        <v>0.35</v>
      </c>
      <c r="Q115">
        <v>0.35</v>
      </c>
      <c r="R115">
        <v>1</v>
      </c>
      <c r="S115">
        <v>0.35</v>
      </c>
      <c r="T115">
        <v>0.22750000000000001</v>
      </c>
      <c r="U115">
        <v>0.65</v>
      </c>
      <c r="V115">
        <v>0.22750000000000001</v>
      </c>
    </row>
    <row r="116" spans="1:22" x14ac:dyDescent="0.35">
      <c r="A116" t="s">
        <v>137</v>
      </c>
      <c r="B116">
        <v>0.22750000000000001</v>
      </c>
      <c r="C116">
        <v>0.22750000000000001</v>
      </c>
      <c r="D116">
        <v>0.22750000000000001</v>
      </c>
      <c r="E116">
        <v>0.22750000000000001</v>
      </c>
      <c r="F116">
        <v>0.22750000000000001</v>
      </c>
      <c r="G116">
        <v>0.65</v>
      </c>
      <c r="H116">
        <v>0.22750000000000001</v>
      </c>
      <c r="I116">
        <v>0.22750000000000001</v>
      </c>
      <c r="J116">
        <v>0.22750000000000001</v>
      </c>
      <c r="K116">
        <v>0.22750000000000001</v>
      </c>
      <c r="L116">
        <v>0.22750000000000001</v>
      </c>
      <c r="M116">
        <v>0.65</v>
      </c>
      <c r="N116">
        <v>0.35</v>
      </c>
      <c r="O116">
        <v>0.35</v>
      </c>
      <c r="P116">
        <v>0.35</v>
      </c>
      <c r="Q116">
        <v>0.35</v>
      </c>
      <c r="R116">
        <v>0.35</v>
      </c>
      <c r="S116">
        <v>1</v>
      </c>
      <c r="T116">
        <v>0.22750000000000001</v>
      </c>
      <c r="U116">
        <v>0.22750000000000001</v>
      </c>
      <c r="V116">
        <v>0.65</v>
      </c>
    </row>
    <row r="117" spans="1:22" x14ac:dyDescent="0.35">
      <c r="A117" t="s">
        <v>138</v>
      </c>
      <c r="B117">
        <v>0.22750000000000001</v>
      </c>
      <c r="C117">
        <v>0.22750000000000001</v>
      </c>
      <c r="D117">
        <v>0.65</v>
      </c>
      <c r="E117">
        <v>0.22750000000000001</v>
      </c>
      <c r="F117">
        <v>0.22750000000000001</v>
      </c>
      <c r="G117">
        <v>0.22750000000000001</v>
      </c>
      <c r="H117">
        <v>0.22750000000000001</v>
      </c>
      <c r="I117">
        <v>0.22750000000000001</v>
      </c>
      <c r="J117">
        <v>0.65</v>
      </c>
      <c r="K117">
        <v>0.22750000000000001</v>
      </c>
      <c r="L117">
        <v>0.22750000000000001</v>
      </c>
      <c r="M117">
        <v>0.22750000000000001</v>
      </c>
      <c r="N117">
        <v>0.22750000000000001</v>
      </c>
      <c r="O117">
        <v>0.22750000000000001</v>
      </c>
      <c r="P117">
        <v>0.65</v>
      </c>
      <c r="Q117">
        <v>0.22750000000000001</v>
      </c>
      <c r="R117">
        <v>0.22750000000000001</v>
      </c>
      <c r="S117">
        <v>0.22750000000000001</v>
      </c>
      <c r="T117">
        <v>1</v>
      </c>
      <c r="U117">
        <v>0.35</v>
      </c>
      <c r="V117">
        <v>0.35</v>
      </c>
    </row>
    <row r="118" spans="1:22" x14ac:dyDescent="0.35">
      <c r="A118" t="s">
        <v>140</v>
      </c>
      <c r="B118">
        <v>0.22750000000000001</v>
      </c>
      <c r="C118">
        <v>0.22750000000000001</v>
      </c>
      <c r="D118">
        <v>0.22750000000000001</v>
      </c>
      <c r="E118">
        <v>0.22750000000000001</v>
      </c>
      <c r="F118">
        <v>0.65</v>
      </c>
      <c r="G118">
        <v>0.22750000000000001</v>
      </c>
      <c r="H118">
        <v>0.22750000000000001</v>
      </c>
      <c r="I118">
        <v>0.22750000000000001</v>
      </c>
      <c r="J118">
        <v>0.22750000000000001</v>
      </c>
      <c r="K118">
        <v>0.22750000000000001</v>
      </c>
      <c r="L118">
        <v>0.65</v>
      </c>
      <c r="M118">
        <v>0.22750000000000001</v>
      </c>
      <c r="N118">
        <v>0.22750000000000001</v>
      </c>
      <c r="O118">
        <v>0.22750000000000001</v>
      </c>
      <c r="P118">
        <v>0.22750000000000001</v>
      </c>
      <c r="Q118">
        <v>0.22750000000000001</v>
      </c>
      <c r="R118">
        <v>0.65</v>
      </c>
      <c r="S118">
        <v>0.22750000000000001</v>
      </c>
      <c r="T118">
        <v>0.35</v>
      </c>
      <c r="U118">
        <v>1</v>
      </c>
      <c r="V118">
        <v>0.35</v>
      </c>
    </row>
    <row r="119" spans="1:22" x14ac:dyDescent="0.35">
      <c r="A119" t="s">
        <v>141</v>
      </c>
      <c r="B119">
        <v>0.22750000000000001</v>
      </c>
      <c r="C119">
        <v>0.22750000000000001</v>
      </c>
      <c r="D119">
        <v>0.22750000000000001</v>
      </c>
      <c r="E119">
        <v>0.22750000000000001</v>
      </c>
      <c r="F119">
        <v>0.22750000000000001</v>
      </c>
      <c r="G119">
        <v>0.65</v>
      </c>
      <c r="H119">
        <v>0.22750000000000001</v>
      </c>
      <c r="I119">
        <v>0.22750000000000001</v>
      </c>
      <c r="J119">
        <v>0.22750000000000001</v>
      </c>
      <c r="K119">
        <v>0.22750000000000001</v>
      </c>
      <c r="L119">
        <v>0.22750000000000001</v>
      </c>
      <c r="M119">
        <v>0.65</v>
      </c>
      <c r="N119">
        <v>0.22750000000000001</v>
      </c>
      <c r="O119">
        <v>0.22750000000000001</v>
      </c>
      <c r="P119">
        <v>0.22750000000000001</v>
      </c>
      <c r="Q119">
        <v>0.22750000000000001</v>
      </c>
      <c r="R119">
        <v>0.22750000000000001</v>
      </c>
      <c r="S119">
        <v>0.65</v>
      </c>
      <c r="T119">
        <v>0.35</v>
      </c>
      <c r="U119">
        <v>0.35</v>
      </c>
      <c r="V119">
        <v>1</v>
      </c>
    </row>
    <row r="122" spans="1:22" x14ac:dyDescent="0.35">
      <c r="A122" t="s">
        <v>375</v>
      </c>
    </row>
    <row r="123" spans="1:22" x14ac:dyDescent="0.35">
      <c r="B123" t="s">
        <v>142</v>
      </c>
      <c r="C123" t="s">
        <v>145</v>
      </c>
      <c r="D123" t="s">
        <v>147</v>
      </c>
      <c r="E123" t="s">
        <v>149</v>
      </c>
      <c r="F123" t="s">
        <v>151</v>
      </c>
      <c r="G123" t="s">
        <v>152</v>
      </c>
      <c r="H123" t="s">
        <v>153</v>
      </c>
      <c r="I123" t="s">
        <v>155</v>
      </c>
      <c r="J123" t="s">
        <v>156</v>
      </c>
    </row>
    <row r="124" spans="1:22" x14ac:dyDescent="0.35">
      <c r="A124" t="s">
        <v>142</v>
      </c>
      <c r="B124">
        <v>1</v>
      </c>
      <c r="C124">
        <v>0.35</v>
      </c>
      <c r="D124">
        <v>0.35</v>
      </c>
      <c r="E124">
        <v>0.65</v>
      </c>
      <c r="F124">
        <v>0.22750000000000001</v>
      </c>
      <c r="G124">
        <v>0.22750000000000001</v>
      </c>
      <c r="H124">
        <v>0.65</v>
      </c>
      <c r="I124">
        <v>0.22750000000000001</v>
      </c>
      <c r="J124">
        <v>0.65</v>
      </c>
    </row>
    <row r="125" spans="1:22" x14ac:dyDescent="0.35">
      <c r="A125" t="s">
        <v>145</v>
      </c>
      <c r="B125">
        <v>0.35</v>
      </c>
      <c r="C125">
        <v>1</v>
      </c>
      <c r="D125">
        <v>0.35</v>
      </c>
      <c r="E125">
        <v>0.22750000000000001</v>
      </c>
      <c r="F125">
        <v>0.65</v>
      </c>
      <c r="G125">
        <v>0.22750000000000001</v>
      </c>
      <c r="H125">
        <v>0.22750000000000001</v>
      </c>
      <c r="I125">
        <v>0.22750000000000001</v>
      </c>
      <c r="J125">
        <v>0.22750000000000001</v>
      </c>
    </row>
    <row r="126" spans="1:22" x14ac:dyDescent="0.35">
      <c r="A126" t="s">
        <v>147</v>
      </c>
      <c r="B126">
        <v>0.35</v>
      </c>
      <c r="C126">
        <v>0.35</v>
      </c>
      <c r="D126">
        <v>1</v>
      </c>
      <c r="E126">
        <v>0.22750000000000001</v>
      </c>
      <c r="F126">
        <v>0.22750000000000001</v>
      </c>
      <c r="G126">
        <v>0.65</v>
      </c>
      <c r="H126">
        <v>0.22750000000000001</v>
      </c>
      <c r="I126">
        <v>0.65</v>
      </c>
      <c r="J126">
        <v>0.22750000000000001</v>
      </c>
    </row>
    <row r="127" spans="1:22" x14ac:dyDescent="0.35">
      <c r="A127" t="s">
        <v>149</v>
      </c>
      <c r="B127">
        <v>0.65</v>
      </c>
      <c r="C127">
        <v>0.22750000000000001</v>
      </c>
      <c r="D127">
        <v>0.22750000000000001</v>
      </c>
      <c r="E127">
        <v>1</v>
      </c>
      <c r="F127">
        <v>0.35</v>
      </c>
      <c r="G127">
        <v>0.35</v>
      </c>
      <c r="H127">
        <v>0.65</v>
      </c>
      <c r="I127">
        <v>0.22750000000000001</v>
      </c>
      <c r="J127">
        <v>0.65</v>
      </c>
    </row>
    <row r="128" spans="1:22" x14ac:dyDescent="0.35">
      <c r="A128" t="s">
        <v>151</v>
      </c>
      <c r="B128">
        <v>0.22750000000000001</v>
      </c>
      <c r="C128">
        <v>0.65</v>
      </c>
      <c r="D128">
        <v>0.22750000000000001</v>
      </c>
      <c r="E128">
        <v>0.35</v>
      </c>
      <c r="F128">
        <v>1</v>
      </c>
      <c r="G128">
        <v>0.35</v>
      </c>
      <c r="H128">
        <v>0.22750000000000001</v>
      </c>
      <c r="I128">
        <v>0.22750000000000001</v>
      </c>
      <c r="J128">
        <v>0.22750000000000001</v>
      </c>
    </row>
    <row r="129" spans="1:11" x14ac:dyDescent="0.35">
      <c r="A129" t="s">
        <v>152</v>
      </c>
      <c r="B129">
        <v>0.22750000000000001</v>
      </c>
      <c r="C129">
        <v>0.22750000000000001</v>
      </c>
      <c r="D129">
        <v>0.65</v>
      </c>
      <c r="E129">
        <v>0.35</v>
      </c>
      <c r="F129">
        <v>0.35</v>
      </c>
      <c r="G129">
        <v>1</v>
      </c>
      <c r="H129">
        <v>0.22750000000000001</v>
      </c>
      <c r="I129">
        <v>0.65</v>
      </c>
      <c r="J129">
        <v>0.22750000000000001</v>
      </c>
    </row>
    <row r="130" spans="1:11" x14ac:dyDescent="0.35">
      <c r="A130" t="s">
        <v>153</v>
      </c>
      <c r="B130">
        <v>0.65</v>
      </c>
      <c r="C130">
        <v>0.22750000000000001</v>
      </c>
      <c r="D130">
        <v>0.22750000000000001</v>
      </c>
      <c r="E130">
        <v>0.65</v>
      </c>
      <c r="F130">
        <v>0.22750000000000001</v>
      </c>
      <c r="G130">
        <v>0.22750000000000001</v>
      </c>
      <c r="H130">
        <v>1</v>
      </c>
      <c r="I130">
        <v>0.35</v>
      </c>
      <c r="J130">
        <v>0.65</v>
      </c>
    </row>
    <row r="131" spans="1:11" x14ac:dyDescent="0.35">
      <c r="A131" t="s">
        <v>155</v>
      </c>
      <c r="B131">
        <v>0.22750000000000001</v>
      </c>
      <c r="C131">
        <v>0.22750000000000001</v>
      </c>
      <c r="D131">
        <v>0.65</v>
      </c>
      <c r="E131">
        <v>0.22750000000000001</v>
      </c>
      <c r="F131">
        <v>0.22750000000000001</v>
      </c>
      <c r="G131">
        <v>0.65</v>
      </c>
      <c r="H131">
        <v>0.35</v>
      </c>
      <c r="I131">
        <v>1</v>
      </c>
      <c r="J131">
        <v>0.22750000000000001</v>
      </c>
    </row>
    <row r="132" spans="1:11" x14ac:dyDescent="0.35">
      <c r="A132" t="s">
        <v>156</v>
      </c>
      <c r="B132">
        <v>0.65</v>
      </c>
      <c r="C132">
        <v>0.22750000000000001</v>
      </c>
      <c r="D132">
        <v>0.22750000000000001</v>
      </c>
      <c r="E132">
        <v>0.65</v>
      </c>
      <c r="F132">
        <v>0.22750000000000001</v>
      </c>
      <c r="G132">
        <v>0.22750000000000001</v>
      </c>
      <c r="H132">
        <v>0.65</v>
      </c>
      <c r="I132">
        <v>0.22750000000000001</v>
      </c>
      <c r="J132">
        <v>1</v>
      </c>
    </row>
    <row r="135" spans="1:11" x14ac:dyDescent="0.35">
      <c r="A135" t="s">
        <v>376</v>
      </c>
    </row>
    <row r="136" spans="1:11" x14ac:dyDescent="0.35">
      <c r="B136" t="s">
        <v>159</v>
      </c>
      <c r="C136" t="s">
        <v>162</v>
      </c>
      <c r="D136" t="s">
        <v>164</v>
      </c>
    </row>
    <row r="137" spans="1:11" x14ac:dyDescent="0.35">
      <c r="A137" t="s">
        <v>159</v>
      </c>
      <c r="B137">
        <v>1</v>
      </c>
      <c r="C137">
        <v>0.8</v>
      </c>
      <c r="D137">
        <v>0.8</v>
      </c>
    </row>
    <row r="138" spans="1:11" x14ac:dyDescent="0.35">
      <c r="A138" t="s">
        <v>162</v>
      </c>
      <c r="B138">
        <v>0.8</v>
      </c>
      <c r="C138">
        <v>1</v>
      </c>
      <c r="D138">
        <v>0.8</v>
      </c>
    </row>
    <row r="139" spans="1:11" x14ac:dyDescent="0.35">
      <c r="A139" t="s">
        <v>164</v>
      </c>
      <c r="B139">
        <v>0.8</v>
      </c>
      <c r="C139">
        <v>0.8</v>
      </c>
      <c r="D139">
        <v>1</v>
      </c>
    </row>
    <row r="142" spans="1:11" x14ac:dyDescent="0.35">
      <c r="A142" t="s">
        <v>377</v>
      </c>
    </row>
    <row r="143" spans="1:11" x14ac:dyDescent="0.35">
      <c r="B143" t="s">
        <v>166</v>
      </c>
      <c r="C143" t="s">
        <v>169</v>
      </c>
      <c r="D143" t="s">
        <v>171</v>
      </c>
      <c r="E143" t="s">
        <v>173</v>
      </c>
      <c r="F143" t="s">
        <v>174</v>
      </c>
      <c r="G143" t="s">
        <v>176</v>
      </c>
      <c r="H143" t="s">
        <v>177</v>
      </c>
      <c r="I143" t="s">
        <v>179</v>
      </c>
      <c r="J143" t="s">
        <v>180</v>
      </c>
      <c r="K143" t="s">
        <v>182</v>
      </c>
    </row>
    <row r="144" spans="1:11" x14ac:dyDescent="0.35">
      <c r="A144" t="s">
        <v>166</v>
      </c>
      <c r="B144">
        <v>1</v>
      </c>
      <c r="C144">
        <v>0.4</v>
      </c>
      <c r="D144">
        <v>0.8</v>
      </c>
      <c r="E144">
        <v>0.32000000000000012</v>
      </c>
      <c r="F144">
        <v>0.8</v>
      </c>
      <c r="G144">
        <v>0.32000000000000012</v>
      </c>
      <c r="H144">
        <v>0.8</v>
      </c>
      <c r="I144">
        <v>0.32000000000000012</v>
      </c>
      <c r="J144">
        <v>0.8</v>
      </c>
      <c r="K144">
        <v>0.32000000000000012</v>
      </c>
    </row>
    <row r="145" spans="1:11" x14ac:dyDescent="0.35">
      <c r="A145" t="s">
        <v>169</v>
      </c>
      <c r="B145">
        <v>0.4</v>
      </c>
      <c r="C145">
        <v>1</v>
      </c>
      <c r="D145">
        <v>0.32000000000000012</v>
      </c>
      <c r="E145">
        <v>0.8</v>
      </c>
      <c r="F145">
        <v>0.32000000000000012</v>
      </c>
      <c r="G145">
        <v>0.8</v>
      </c>
      <c r="H145">
        <v>0.32000000000000012</v>
      </c>
      <c r="I145">
        <v>0.8</v>
      </c>
      <c r="J145">
        <v>0.32000000000000012</v>
      </c>
      <c r="K145">
        <v>0.8</v>
      </c>
    </row>
    <row r="146" spans="1:11" x14ac:dyDescent="0.35">
      <c r="A146" t="s">
        <v>171</v>
      </c>
      <c r="B146">
        <v>0.8</v>
      </c>
      <c r="C146">
        <v>0.32000000000000012</v>
      </c>
      <c r="D146">
        <v>1</v>
      </c>
      <c r="E146">
        <v>0.4</v>
      </c>
      <c r="F146">
        <v>0.8</v>
      </c>
      <c r="G146">
        <v>0.32000000000000012</v>
      </c>
      <c r="H146">
        <v>0.8</v>
      </c>
      <c r="I146">
        <v>0.32000000000000012</v>
      </c>
      <c r="J146">
        <v>0.8</v>
      </c>
      <c r="K146">
        <v>0.32000000000000012</v>
      </c>
    </row>
    <row r="147" spans="1:11" x14ac:dyDescent="0.35">
      <c r="A147" t="s">
        <v>173</v>
      </c>
      <c r="B147">
        <v>0.32000000000000012</v>
      </c>
      <c r="C147">
        <v>0.8</v>
      </c>
      <c r="D147">
        <v>0.4</v>
      </c>
      <c r="E147">
        <v>1</v>
      </c>
      <c r="F147">
        <v>0.32000000000000012</v>
      </c>
      <c r="G147">
        <v>0.8</v>
      </c>
      <c r="H147">
        <v>0.32000000000000012</v>
      </c>
      <c r="I147">
        <v>0.8</v>
      </c>
      <c r="J147">
        <v>0.32000000000000012</v>
      </c>
      <c r="K147">
        <v>0.8</v>
      </c>
    </row>
    <row r="148" spans="1:11" x14ac:dyDescent="0.35">
      <c r="A148" t="s">
        <v>174</v>
      </c>
      <c r="B148">
        <v>0.8</v>
      </c>
      <c r="C148">
        <v>0.32000000000000012</v>
      </c>
      <c r="D148">
        <v>0.8</v>
      </c>
      <c r="E148">
        <v>0.32000000000000012</v>
      </c>
      <c r="F148">
        <v>1</v>
      </c>
      <c r="G148">
        <v>0.4</v>
      </c>
      <c r="H148">
        <v>0.8</v>
      </c>
      <c r="I148">
        <v>0.32000000000000012</v>
      </c>
      <c r="J148">
        <v>0.8</v>
      </c>
      <c r="K148">
        <v>0.32000000000000012</v>
      </c>
    </row>
    <row r="149" spans="1:11" x14ac:dyDescent="0.35">
      <c r="A149" t="s">
        <v>176</v>
      </c>
      <c r="B149">
        <v>0.32000000000000012</v>
      </c>
      <c r="C149">
        <v>0.8</v>
      </c>
      <c r="D149">
        <v>0.32000000000000012</v>
      </c>
      <c r="E149">
        <v>0.8</v>
      </c>
      <c r="F149">
        <v>0.4</v>
      </c>
      <c r="G149">
        <v>1</v>
      </c>
      <c r="H149">
        <v>0.32000000000000012</v>
      </c>
      <c r="I149">
        <v>0.8</v>
      </c>
      <c r="J149">
        <v>0.32000000000000012</v>
      </c>
      <c r="K149">
        <v>0.8</v>
      </c>
    </row>
    <row r="150" spans="1:11" x14ac:dyDescent="0.35">
      <c r="A150" t="s">
        <v>177</v>
      </c>
      <c r="B150">
        <v>0.8</v>
      </c>
      <c r="C150">
        <v>0.32000000000000012</v>
      </c>
      <c r="D150">
        <v>0.8</v>
      </c>
      <c r="E150">
        <v>0.32000000000000012</v>
      </c>
      <c r="F150">
        <v>0.8</v>
      </c>
      <c r="G150">
        <v>0.32000000000000012</v>
      </c>
      <c r="H150">
        <v>1</v>
      </c>
      <c r="I150">
        <v>0.4</v>
      </c>
      <c r="J150">
        <v>0.8</v>
      </c>
      <c r="K150">
        <v>0.32000000000000012</v>
      </c>
    </row>
    <row r="151" spans="1:11" x14ac:dyDescent="0.35">
      <c r="A151" t="s">
        <v>179</v>
      </c>
      <c r="B151">
        <v>0.32000000000000012</v>
      </c>
      <c r="C151">
        <v>0.8</v>
      </c>
      <c r="D151">
        <v>0.32000000000000012</v>
      </c>
      <c r="E151">
        <v>0.8</v>
      </c>
      <c r="F151">
        <v>0.32000000000000012</v>
      </c>
      <c r="G151">
        <v>0.8</v>
      </c>
      <c r="H151">
        <v>0.4</v>
      </c>
      <c r="I151">
        <v>1</v>
      </c>
      <c r="J151">
        <v>0.32000000000000012</v>
      </c>
      <c r="K151">
        <v>0.8</v>
      </c>
    </row>
    <row r="152" spans="1:11" x14ac:dyDescent="0.35">
      <c r="A152" t="s">
        <v>180</v>
      </c>
      <c r="B152">
        <v>0.8</v>
      </c>
      <c r="C152">
        <v>0.32000000000000012</v>
      </c>
      <c r="D152">
        <v>0.8</v>
      </c>
      <c r="E152">
        <v>0.32000000000000012</v>
      </c>
      <c r="F152">
        <v>0.8</v>
      </c>
      <c r="G152">
        <v>0.32000000000000012</v>
      </c>
      <c r="H152">
        <v>0.8</v>
      </c>
      <c r="I152">
        <v>0.32000000000000012</v>
      </c>
      <c r="J152">
        <v>1</v>
      </c>
      <c r="K152">
        <v>0.4</v>
      </c>
    </row>
    <row r="153" spans="1:11" x14ac:dyDescent="0.35">
      <c r="A153" t="s">
        <v>182</v>
      </c>
      <c r="B153">
        <v>0.32000000000000012</v>
      </c>
      <c r="C153">
        <v>0.8</v>
      </c>
      <c r="D153">
        <v>0.32000000000000012</v>
      </c>
      <c r="E153">
        <v>0.8</v>
      </c>
      <c r="F153">
        <v>0.32000000000000012</v>
      </c>
      <c r="G153">
        <v>0.8</v>
      </c>
      <c r="H153">
        <v>0.32000000000000012</v>
      </c>
      <c r="I153">
        <v>0.8</v>
      </c>
      <c r="J153">
        <v>0.4</v>
      </c>
      <c r="K153">
        <v>1</v>
      </c>
    </row>
    <row r="156" spans="1:11" x14ac:dyDescent="0.35">
      <c r="A156" t="s">
        <v>378</v>
      </c>
    </row>
    <row r="157" spans="1:11" x14ac:dyDescent="0.35">
      <c r="B157" t="s">
        <v>183</v>
      </c>
      <c r="C157" t="s">
        <v>186</v>
      </c>
      <c r="D157" t="s">
        <v>188</v>
      </c>
      <c r="E157" t="s">
        <v>190</v>
      </c>
      <c r="F157" t="s">
        <v>191</v>
      </c>
      <c r="G157" t="s">
        <v>193</v>
      </c>
    </row>
    <row r="158" spans="1:11" x14ac:dyDescent="0.35">
      <c r="A158" t="s">
        <v>183</v>
      </c>
      <c r="B158">
        <v>1</v>
      </c>
      <c r="C158">
        <v>0.4</v>
      </c>
      <c r="D158">
        <v>0.8</v>
      </c>
      <c r="E158">
        <v>0.32000000000000012</v>
      </c>
      <c r="F158">
        <v>0.32000000000000012</v>
      </c>
      <c r="G158">
        <v>0.32000000000000012</v>
      </c>
    </row>
    <row r="159" spans="1:11" x14ac:dyDescent="0.35">
      <c r="A159" t="s">
        <v>186</v>
      </c>
      <c r="B159">
        <v>0.4</v>
      </c>
      <c r="C159">
        <v>1</v>
      </c>
      <c r="D159">
        <v>0.32000000000000012</v>
      </c>
      <c r="E159">
        <v>0.8</v>
      </c>
      <c r="F159">
        <v>0.8</v>
      </c>
      <c r="G159">
        <v>0.8</v>
      </c>
    </row>
    <row r="160" spans="1:11" x14ac:dyDescent="0.35">
      <c r="A160" t="s">
        <v>188</v>
      </c>
      <c r="B160">
        <v>0.8</v>
      </c>
      <c r="C160">
        <v>0.32000000000000012</v>
      </c>
      <c r="D160">
        <v>1</v>
      </c>
      <c r="E160">
        <v>0.4</v>
      </c>
      <c r="F160">
        <v>0.32000000000000012</v>
      </c>
      <c r="G160">
        <v>0.32000000000000012</v>
      </c>
    </row>
    <row r="161" spans="1:7" x14ac:dyDescent="0.35">
      <c r="A161" t="s">
        <v>190</v>
      </c>
      <c r="B161">
        <v>0.32000000000000012</v>
      </c>
      <c r="C161">
        <v>0.8</v>
      </c>
      <c r="D161">
        <v>0.4</v>
      </c>
      <c r="E161">
        <v>1</v>
      </c>
      <c r="F161">
        <v>0.8</v>
      </c>
      <c r="G161">
        <v>0.8</v>
      </c>
    </row>
    <row r="162" spans="1:7" x14ac:dyDescent="0.35">
      <c r="A162" t="s">
        <v>191</v>
      </c>
      <c r="B162">
        <v>0.32000000000000012</v>
      </c>
      <c r="C162">
        <v>0.8</v>
      </c>
      <c r="D162">
        <v>0.32000000000000012</v>
      </c>
      <c r="E162">
        <v>0.8</v>
      </c>
      <c r="F162">
        <v>1</v>
      </c>
      <c r="G162">
        <v>0.8</v>
      </c>
    </row>
    <row r="163" spans="1:7" x14ac:dyDescent="0.35">
      <c r="A163" t="s">
        <v>193</v>
      </c>
      <c r="B163">
        <v>0.32000000000000012</v>
      </c>
      <c r="C163">
        <v>0.8</v>
      </c>
      <c r="D163">
        <v>0.32000000000000012</v>
      </c>
      <c r="E163">
        <v>0.8</v>
      </c>
      <c r="F163">
        <v>0.8</v>
      </c>
      <c r="G163">
        <v>1</v>
      </c>
    </row>
    <row r="166" spans="1:7" x14ac:dyDescent="0.35">
      <c r="A166" t="s">
        <v>379</v>
      </c>
    </row>
    <row r="167" spans="1:7" x14ac:dyDescent="0.35">
      <c r="B167" t="s">
        <v>195</v>
      </c>
      <c r="C167" t="s">
        <v>198</v>
      </c>
      <c r="D167" t="s">
        <v>200</v>
      </c>
      <c r="E167" t="s">
        <v>202</v>
      </c>
    </row>
    <row r="168" spans="1:7" x14ac:dyDescent="0.35">
      <c r="A168" t="s">
        <v>195</v>
      </c>
      <c r="B168">
        <v>1</v>
      </c>
      <c r="C168">
        <v>0.8</v>
      </c>
      <c r="D168">
        <v>0.8</v>
      </c>
      <c r="E168">
        <v>0.8</v>
      </c>
    </row>
    <row r="169" spans="1:7" x14ac:dyDescent="0.35">
      <c r="A169" t="s">
        <v>198</v>
      </c>
      <c r="B169">
        <v>0.8</v>
      </c>
      <c r="C169">
        <v>1</v>
      </c>
      <c r="D169">
        <v>0.8</v>
      </c>
      <c r="E169">
        <v>0.8</v>
      </c>
    </row>
    <row r="170" spans="1:7" x14ac:dyDescent="0.35">
      <c r="A170" t="s">
        <v>200</v>
      </c>
      <c r="B170">
        <v>0.8</v>
      </c>
      <c r="C170">
        <v>0.8</v>
      </c>
      <c r="D170">
        <v>1</v>
      </c>
      <c r="E170">
        <v>0.8</v>
      </c>
    </row>
    <row r="171" spans="1:7" x14ac:dyDescent="0.35">
      <c r="A171" t="s">
        <v>202</v>
      </c>
      <c r="B171">
        <v>0.8</v>
      </c>
      <c r="C171">
        <v>0.8</v>
      </c>
      <c r="D171">
        <v>0.8</v>
      </c>
      <c r="E171">
        <v>1</v>
      </c>
    </row>
    <row r="174" spans="1:7" x14ac:dyDescent="0.35">
      <c r="A174" t="s">
        <v>380</v>
      </c>
    </row>
    <row r="175" spans="1:7" x14ac:dyDescent="0.35">
      <c r="B175" t="s">
        <v>204</v>
      </c>
      <c r="C175" t="s">
        <v>207</v>
      </c>
      <c r="D175" t="s">
        <v>209</v>
      </c>
      <c r="E175" t="s">
        <v>211</v>
      </c>
    </row>
    <row r="176" spans="1:7" x14ac:dyDescent="0.35">
      <c r="A176" t="s">
        <v>204</v>
      </c>
      <c r="B176">
        <v>1</v>
      </c>
      <c r="C176">
        <v>0.8</v>
      </c>
      <c r="D176">
        <v>0.8</v>
      </c>
      <c r="E176">
        <v>0.8</v>
      </c>
    </row>
    <row r="177" spans="1:7" x14ac:dyDescent="0.35">
      <c r="A177" t="s">
        <v>207</v>
      </c>
      <c r="B177">
        <v>0.8</v>
      </c>
      <c r="C177">
        <v>1</v>
      </c>
      <c r="D177">
        <v>0.8</v>
      </c>
      <c r="E177">
        <v>0.8</v>
      </c>
    </row>
    <row r="178" spans="1:7" x14ac:dyDescent="0.35">
      <c r="A178" t="s">
        <v>209</v>
      </c>
      <c r="B178">
        <v>0.8</v>
      </c>
      <c r="C178">
        <v>0.8</v>
      </c>
      <c r="D178">
        <v>1</v>
      </c>
      <c r="E178">
        <v>0.8</v>
      </c>
    </row>
    <row r="179" spans="1:7" x14ac:dyDescent="0.35">
      <c r="A179" t="s">
        <v>211</v>
      </c>
      <c r="B179">
        <v>0.8</v>
      </c>
      <c r="C179">
        <v>0.8</v>
      </c>
      <c r="D179">
        <v>0.8</v>
      </c>
      <c r="E179">
        <v>1</v>
      </c>
    </row>
    <row r="182" spans="1:7" x14ac:dyDescent="0.35">
      <c r="A182" t="s">
        <v>381</v>
      </c>
    </row>
    <row r="183" spans="1:7" x14ac:dyDescent="0.35">
      <c r="B183" t="s">
        <v>213</v>
      </c>
      <c r="C183" t="s">
        <v>216</v>
      </c>
      <c r="D183" t="s">
        <v>218</v>
      </c>
      <c r="E183" t="s">
        <v>220</v>
      </c>
      <c r="F183" t="s">
        <v>221</v>
      </c>
      <c r="G183" t="s">
        <v>223</v>
      </c>
    </row>
    <row r="184" spans="1:7" x14ac:dyDescent="0.35">
      <c r="A184" t="s">
        <v>213</v>
      </c>
      <c r="B184">
        <v>1</v>
      </c>
      <c r="C184">
        <v>0.4</v>
      </c>
      <c r="D184">
        <v>0.8</v>
      </c>
      <c r="E184">
        <v>0.32000000000000012</v>
      </c>
      <c r="F184">
        <v>0.8</v>
      </c>
      <c r="G184">
        <v>0.32000000000000012</v>
      </c>
    </row>
    <row r="185" spans="1:7" x14ac:dyDescent="0.35">
      <c r="A185" t="s">
        <v>216</v>
      </c>
      <c r="B185">
        <v>0.4</v>
      </c>
      <c r="C185">
        <v>1</v>
      </c>
      <c r="D185">
        <v>0.32000000000000012</v>
      </c>
      <c r="E185">
        <v>0.8</v>
      </c>
      <c r="F185">
        <v>0.32000000000000012</v>
      </c>
      <c r="G185">
        <v>0.8</v>
      </c>
    </row>
    <row r="186" spans="1:7" x14ac:dyDescent="0.35">
      <c r="A186" t="s">
        <v>218</v>
      </c>
      <c r="B186">
        <v>0.8</v>
      </c>
      <c r="C186">
        <v>0.32000000000000012</v>
      </c>
      <c r="D186">
        <v>1</v>
      </c>
      <c r="E186">
        <v>0.4</v>
      </c>
      <c r="F186">
        <v>0.8</v>
      </c>
      <c r="G186">
        <v>0.32000000000000012</v>
      </c>
    </row>
    <row r="187" spans="1:7" x14ac:dyDescent="0.35">
      <c r="A187" t="s">
        <v>220</v>
      </c>
      <c r="B187">
        <v>0.32000000000000012</v>
      </c>
      <c r="C187">
        <v>0.8</v>
      </c>
      <c r="D187">
        <v>0.4</v>
      </c>
      <c r="E187">
        <v>1</v>
      </c>
      <c r="F187">
        <v>0.32000000000000012</v>
      </c>
      <c r="G187">
        <v>0.8</v>
      </c>
    </row>
    <row r="188" spans="1:7" x14ac:dyDescent="0.35">
      <c r="A188" t="s">
        <v>221</v>
      </c>
      <c r="B188">
        <v>0.8</v>
      </c>
      <c r="C188">
        <v>0.32000000000000012</v>
      </c>
      <c r="D188">
        <v>0.8</v>
      </c>
      <c r="E188">
        <v>0.32000000000000012</v>
      </c>
      <c r="F188">
        <v>1</v>
      </c>
      <c r="G188">
        <v>0.4</v>
      </c>
    </row>
    <row r="189" spans="1:7" x14ac:dyDescent="0.35">
      <c r="A189" t="s">
        <v>223</v>
      </c>
      <c r="B189">
        <v>0.32000000000000012</v>
      </c>
      <c r="C189">
        <v>0.8</v>
      </c>
      <c r="D189">
        <v>0.32000000000000012</v>
      </c>
      <c r="E189">
        <v>0.8</v>
      </c>
      <c r="F189">
        <v>0.4</v>
      </c>
      <c r="G189">
        <v>1</v>
      </c>
    </row>
    <row r="192" spans="1:7" x14ac:dyDescent="0.35">
      <c r="A192" t="s">
        <v>382</v>
      </c>
    </row>
    <row r="193" spans="1:9" x14ac:dyDescent="0.35">
      <c r="B193" t="s">
        <v>224</v>
      </c>
      <c r="C193" t="s">
        <v>227</v>
      </c>
      <c r="D193" t="s">
        <v>229</v>
      </c>
      <c r="E193" t="s">
        <v>231</v>
      </c>
      <c r="F193" t="s">
        <v>233</v>
      </c>
    </row>
    <row r="194" spans="1:9" x14ac:dyDescent="0.35">
      <c r="A194" t="s">
        <v>224</v>
      </c>
      <c r="B194">
        <v>1</v>
      </c>
      <c r="C194">
        <v>0.8</v>
      </c>
      <c r="D194">
        <v>0.8</v>
      </c>
      <c r="E194">
        <v>0.8</v>
      </c>
      <c r="F194">
        <v>0.8</v>
      </c>
    </row>
    <row r="195" spans="1:9" x14ac:dyDescent="0.35">
      <c r="A195" t="s">
        <v>227</v>
      </c>
      <c r="B195">
        <v>0.8</v>
      </c>
      <c r="C195">
        <v>1</v>
      </c>
      <c r="D195">
        <v>0.8</v>
      </c>
      <c r="E195">
        <v>0.8</v>
      </c>
      <c r="F195">
        <v>0.8</v>
      </c>
    </row>
    <row r="196" spans="1:9" x14ac:dyDescent="0.35">
      <c r="A196" t="s">
        <v>229</v>
      </c>
      <c r="B196">
        <v>0.8</v>
      </c>
      <c r="C196">
        <v>0.8</v>
      </c>
      <c r="D196">
        <v>1</v>
      </c>
      <c r="E196">
        <v>0.8</v>
      </c>
      <c r="F196">
        <v>0.8</v>
      </c>
    </row>
    <row r="197" spans="1:9" x14ac:dyDescent="0.35">
      <c r="A197" t="s">
        <v>231</v>
      </c>
      <c r="B197">
        <v>0.8</v>
      </c>
      <c r="C197">
        <v>0.8</v>
      </c>
      <c r="D197">
        <v>0.8</v>
      </c>
      <c r="E197">
        <v>1</v>
      </c>
      <c r="F197">
        <v>0.8</v>
      </c>
    </row>
    <row r="198" spans="1:9" x14ac:dyDescent="0.35">
      <c r="A198" t="s">
        <v>233</v>
      </c>
      <c r="B198">
        <v>0.8</v>
      </c>
      <c r="C198">
        <v>0.8</v>
      </c>
      <c r="D198">
        <v>0.8</v>
      </c>
      <c r="E198">
        <v>0.8</v>
      </c>
      <c r="F198">
        <v>1</v>
      </c>
    </row>
    <row r="201" spans="1:9" x14ac:dyDescent="0.35">
      <c r="A201" t="s">
        <v>383</v>
      </c>
    </row>
    <row r="202" spans="1:9" x14ac:dyDescent="0.35">
      <c r="B202" t="s">
        <v>235</v>
      </c>
      <c r="C202" t="s">
        <v>238</v>
      </c>
      <c r="D202" t="s">
        <v>240</v>
      </c>
      <c r="E202" t="s">
        <v>242</v>
      </c>
      <c r="F202" t="s">
        <v>243</v>
      </c>
      <c r="G202" t="s">
        <v>245</v>
      </c>
      <c r="H202" t="s">
        <v>246</v>
      </c>
      <c r="I202" t="s">
        <v>248</v>
      </c>
    </row>
    <row r="203" spans="1:9" x14ac:dyDescent="0.35">
      <c r="A203" t="s">
        <v>235</v>
      </c>
      <c r="B203">
        <v>1</v>
      </c>
      <c r="C203">
        <v>0.4</v>
      </c>
      <c r="D203">
        <v>0.8</v>
      </c>
      <c r="E203">
        <v>0.32000000000000012</v>
      </c>
      <c r="F203">
        <v>0.8</v>
      </c>
      <c r="G203">
        <v>0.32000000000000012</v>
      </c>
      <c r="H203">
        <v>0.8</v>
      </c>
      <c r="I203">
        <v>0.32000000000000012</v>
      </c>
    </row>
    <row r="204" spans="1:9" x14ac:dyDescent="0.35">
      <c r="A204" t="s">
        <v>238</v>
      </c>
      <c r="B204">
        <v>0.4</v>
      </c>
      <c r="C204">
        <v>1</v>
      </c>
      <c r="D204">
        <v>0.32000000000000012</v>
      </c>
      <c r="E204">
        <v>0.8</v>
      </c>
      <c r="F204">
        <v>0.32000000000000012</v>
      </c>
      <c r="G204">
        <v>0.8</v>
      </c>
      <c r="H204">
        <v>0.32000000000000012</v>
      </c>
      <c r="I204">
        <v>0.8</v>
      </c>
    </row>
    <row r="205" spans="1:9" x14ac:dyDescent="0.35">
      <c r="A205" t="s">
        <v>240</v>
      </c>
      <c r="B205">
        <v>0.8</v>
      </c>
      <c r="C205">
        <v>0.32000000000000012</v>
      </c>
      <c r="D205">
        <v>1</v>
      </c>
      <c r="E205">
        <v>0.4</v>
      </c>
      <c r="F205">
        <v>0.8</v>
      </c>
      <c r="G205">
        <v>0.32000000000000012</v>
      </c>
      <c r="H205">
        <v>0.8</v>
      </c>
      <c r="I205">
        <v>0.32000000000000012</v>
      </c>
    </row>
    <row r="206" spans="1:9" x14ac:dyDescent="0.35">
      <c r="A206" t="s">
        <v>242</v>
      </c>
      <c r="B206">
        <v>0.32000000000000012</v>
      </c>
      <c r="C206">
        <v>0.8</v>
      </c>
      <c r="D206">
        <v>0.4</v>
      </c>
      <c r="E206">
        <v>1</v>
      </c>
      <c r="F206">
        <v>0.32000000000000012</v>
      </c>
      <c r="G206">
        <v>0.8</v>
      </c>
      <c r="H206">
        <v>0.32000000000000012</v>
      </c>
      <c r="I206">
        <v>0.8</v>
      </c>
    </row>
    <row r="207" spans="1:9" x14ac:dyDescent="0.35">
      <c r="A207" t="s">
        <v>243</v>
      </c>
      <c r="B207">
        <v>0.8</v>
      </c>
      <c r="C207">
        <v>0.32000000000000012</v>
      </c>
      <c r="D207">
        <v>0.8</v>
      </c>
      <c r="E207">
        <v>0.32000000000000012</v>
      </c>
      <c r="F207">
        <v>1</v>
      </c>
      <c r="G207">
        <v>0.4</v>
      </c>
      <c r="H207">
        <v>0.8</v>
      </c>
      <c r="I207">
        <v>0.32000000000000012</v>
      </c>
    </row>
    <row r="208" spans="1:9" x14ac:dyDescent="0.35">
      <c r="A208" t="s">
        <v>245</v>
      </c>
      <c r="B208">
        <v>0.32000000000000012</v>
      </c>
      <c r="C208">
        <v>0.8</v>
      </c>
      <c r="D208">
        <v>0.32000000000000012</v>
      </c>
      <c r="E208">
        <v>0.8</v>
      </c>
      <c r="F208">
        <v>0.4</v>
      </c>
      <c r="G208">
        <v>1</v>
      </c>
      <c r="H208">
        <v>0.32000000000000012</v>
      </c>
      <c r="I208">
        <v>0.8</v>
      </c>
    </row>
    <row r="209" spans="1:9" x14ac:dyDescent="0.35">
      <c r="A209" t="s">
        <v>246</v>
      </c>
      <c r="B209">
        <v>0.8</v>
      </c>
      <c r="C209">
        <v>0.32000000000000012</v>
      </c>
      <c r="D209">
        <v>0.8</v>
      </c>
      <c r="E209">
        <v>0.32000000000000012</v>
      </c>
      <c r="F209">
        <v>0.8</v>
      </c>
      <c r="G209">
        <v>0.32000000000000012</v>
      </c>
      <c r="H209">
        <v>1</v>
      </c>
      <c r="I209">
        <v>0.4</v>
      </c>
    </row>
    <row r="210" spans="1:9" x14ac:dyDescent="0.35">
      <c r="A210" t="s">
        <v>248</v>
      </c>
      <c r="B210">
        <v>0.32000000000000012</v>
      </c>
      <c r="C210">
        <v>0.8</v>
      </c>
      <c r="D210">
        <v>0.32000000000000012</v>
      </c>
      <c r="E210">
        <v>0.8</v>
      </c>
      <c r="F210">
        <v>0.32000000000000012</v>
      </c>
      <c r="G210">
        <v>0.8</v>
      </c>
      <c r="H210">
        <v>0.4</v>
      </c>
      <c r="I210">
        <v>1</v>
      </c>
    </row>
    <row r="213" spans="1:9" x14ac:dyDescent="0.35">
      <c r="A213" t="s">
        <v>384</v>
      </c>
    </row>
    <row r="214" spans="1:9" x14ac:dyDescent="0.35">
      <c r="B214" t="s">
        <v>249</v>
      </c>
      <c r="C214" t="s">
        <v>252</v>
      </c>
      <c r="D214" t="s">
        <v>254</v>
      </c>
      <c r="E214" t="s">
        <v>256</v>
      </c>
    </row>
    <row r="215" spans="1:9" x14ac:dyDescent="0.35">
      <c r="A215" t="s">
        <v>249</v>
      </c>
      <c r="B215">
        <v>1</v>
      </c>
      <c r="C215">
        <v>0.8</v>
      </c>
      <c r="D215">
        <v>0.8</v>
      </c>
      <c r="E215">
        <v>0.8</v>
      </c>
    </row>
    <row r="216" spans="1:9" x14ac:dyDescent="0.35">
      <c r="A216" t="s">
        <v>252</v>
      </c>
      <c r="B216">
        <v>0.8</v>
      </c>
      <c r="C216">
        <v>1</v>
      </c>
      <c r="D216">
        <v>0.8</v>
      </c>
      <c r="E216">
        <v>0.8</v>
      </c>
    </row>
    <row r="217" spans="1:9" x14ac:dyDescent="0.35">
      <c r="A217" t="s">
        <v>254</v>
      </c>
      <c r="B217">
        <v>0.8</v>
      </c>
      <c r="C217">
        <v>0.8</v>
      </c>
      <c r="D217">
        <v>1</v>
      </c>
      <c r="E217">
        <v>0.8</v>
      </c>
    </row>
    <row r="218" spans="1:9" x14ac:dyDescent="0.35">
      <c r="A218" t="s">
        <v>256</v>
      </c>
      <c r="B218">
        <v>0.8</v>
      </c>
      <c r="C218">
        <v>0.8</v>
      </c>
      <c r="D218">
        <v>0.8</v>
      </c>
      <c r="E218">
        <v>1</v>
      </c>
    </row>
    <row r="221" spans="1:9" x14ac:dyDescent="0.35">
      <c r="A221" t="s">
        <v>385</v>
      </c>
    </row>
    <row r="222" spans="1:9" x14ac:dyDescent="0.35">
      <c r="B222" t="s">
        <v>258</v>
      </c>
      <c r="C222" t="s">
        <v>261</v>
      </c>
      <c r="D222" t="s">
        <v>263</v>
      </c>
      <c r="E222" t="s">
        <v>265</v>
      </c>
      <c r="F222" t="s">
        <v>266</v>
      </c>
      <c r="G222" t="s">
        <v>268</v>
      </c>
      <c r="H222" t="s">
        <v>269</v>
      </c>
      <c r="I222" t="s">
        <v>271</v>
      </c>
    </row>
    <row r="223" spans="1:9" x14ac:dyDescent="0.35">
      <c r="A223" t="s">
        <v>258</v>
      </c>
      <c r="B223">
        <v>1</v>
      </c>
      <c r="C223">
        <v>0.4</v>
      </c>
      <c r="D223">
        <v>0.8</v>
      </c>
      <c r="E223">
        <v>0.32000000000000012</v>
      </c>
      <c r="F223">
        <v>0.8</v>
      </c>
      <c r="G223">
        <v>0.32000000000000012</v>
      </c>
      <c r="H223">
        <v>0.8</v>
      </c>
      <c r="I223">
        <v>0.32000000000000012</v>
      </c>
    </row>
    <row r="224" spans="1:9" x14ac:dyDescent="0.35">
      <c r="A224" t="s">
        <v>261</v>
      </c>
      <c r="B224">
        <v>0.4</v>
      </c>
      <c r="C224">
        <v>1</v>
      </c>
      <c r="D224">
        <v>0.32000000000000012</v>
      </c>
      <c r="E224">
        <v>0.8</v>
      </c>
      <c r="F224">
        <v>0.32000000000000012</v>
      </c>
      <c r="G224">
        <v>0.8</v>
      </c>
      <c r="H224">
        <v>0.32000000000000012</v>
      </c>
      <c r="I224">
        <v>0.8</v>
      </c>
    </row>
    <row r="225" spans="1:9" x14ac:dyDescent="0.35">
      <c r="A225" t="s">
        <v>263</v>
      </c>
      <c r="B225">
        <v>0.8</v>
      </c>
      <c r="C225">
        <v>0.32000000000000012</v>
      </c>
      <c r="D225">
        <v>1</v>
      </c>
      <c r="E225">
        <v>0.4</v>
      </c>
      <c r="F225">
        <v>0.8</v>
      </c>
      <c r="G225">
        <v>0.32000000000000012</v>
      </c>
      <c r="H225">
        <v>0.8</v>
      </c>
      <c r="I225">
        <v>0.32000000000000012</v>
      </c>
    </row>
    <row r="226" spans="1:9" x14ac:dyDescent="0.35">
      <c r="A226" t="s">
        <v>265</v>
      </c>
      <c r="B226">
        <v>0.32000000000000012</v>
      </c>
      <c r="C226">
        <v>0.8</v>
      </c>
      <c r="D226">
        <v>0.4</v>
      </c>
      <c r="E226">
        <v>1</v>
      </c>
      <c r="F226">
        <v>0.32000000000000012</v>
      </c>
      <c r="G226">
        <v>0.8</v>
      </c>
      <c r="H226">
        <v>0.32000000000000012</v>
      </c>
      <c r="I226">
        <v>0.8</v>
      </c>
    </row>
    <row r="227" spans="1:9" x14ac:dyDescent="0.35">
      <c r="A227" t="s">
        <v>266</v>
      </c>
      <c r="B227">
        <v>0.8</v>
      </c>
      <c r="C227">
        <v>0.32000000000000012</v>
      </c>
      <c r="D227">
        <v>0.8</v>
      </c>
      <c r="E227">
        <v>0.32000000000000012</v>
      </c>
      <c r="F227">
        <v>1</v>
      </c>
      <c r="G227">
        <v>0.4</v>
      </c>
      <c r="H227">
        <v>0.8</v>
      </c>
      <c r="I227">
        <v>0.32000000000000012</v>
      </c>
    </row>
    <row r="228" spans="1:9" x14ac:dyDescent="0.35">
      <c r="A228" t="s">
        <v>268</v>
      </c>
      <c r="B228">
        <v>0.32000000000000012</v>
      </c>
      <c r="C228">
        <v>0.8</v>
      </c>
      <c r="D228">
        <v>0.32000000000000012</v>
      </c>
      <c r="E228">
        <v>0.8</v>
      </c>
      <c r="F228">
        <v>0.4</v>
      </c>
      <c r="G228">
        <v>1</v>
      </c>
      <c r="H228">
        <v>0.32000000000000012</v>
      </c>
      <c r="I228">
        <v>0.8</v>
      </c>
    </row>
    <row r="229" spans="1:9" x14ac:dyDescent="0.35">
      <c r="A229" t="s">
        <v>269</v>
      </c>
      <c r="B229">
        <v>0.8</v>
      </c>
      <c r="C229">
        <v>0.32000000000000012</v>
      </c>
      <c r="D229">
        <v>0.8</v>
      </c>
      <c r="E229">
        <v>0.32000000000000012</v>
      </c>
      <c r="F229">
        <v>0.8</v>
      </c>
      <c r="G229">
        <v>0.32000000000000012</v>
      </c>
      <c r="H229">
        <v>1</v>
      </c>
      <c r="I229">
        <v>0.4</v>
      </c>
    </row>
    <row r="230" spans="1:9" x14ac:dyDescent="0.35">
      <c r="A230" t="s">
        <v>271</v>
      </c>
      <c r="B230">
        <v>0.32000000000000012</v>
      </c>
      <c r="C230">
        <v>0.8</v>
      </c>
      <c r="D230">
        <v>0.32000000000000012</v>
      </c>
      <c r="E230">
        <v>0.8</v>
      </c>
      <c r="F230">
        <v>0.32000000000000012</v>
      </c>
      <c r="G230">
        <v>0.8</v>
      </c>
      <c r="H230">
        <v>0.4</v>
      </c>
      <c r="I230">
        <v>1</v>
      </c>
    </row>
    <row r="233" spans="1:9" x14ac:dyDescent="0.35">
      <c r="A233" t="s">
        <v>386</v>
      </c>
    </row>
    <row r="234" spans="1:9" x14ac:dyDescent="0.35">
      <c r="B234" t="s">
        <v>277</v>
      </c>
      <c r="C234" t="s">
        <v>279</v>
      </c>
      <c r="D234" t="s">
        <v>281</v>
      </c>
      <c r="E234" t="s">
        <v>283</v>
      </c>
      <c r="F234" t="s">
        <v>285</v>
      </c>
      <c r="G234" t="s">
        <v>287</v>
      </c>
      <c r="H234" t="s">
        <v>289</v>
      </c>
      <c r="I234" t="s">
        <v>291</v>
      </c>
    </row>
    <row r="235" spans="1:9" x14ac:dyDescent="0.35">
      <c r="A235" t="s">
        <v>277</v>
      </c>
      <c r="B235">
        <v>1</v>
      </c>
      <c r="C235">
        <v>0.25</v>
      </c>
      <c r="D235">
        <v>0.25</v>
      </c>
      <c r="E235">
        <v>0.25</v>
      </c>
      <c r="F235">
        <v>0.25</v>
      </c>
      <c r="G235">
        <v>0.25</v>
      </c>
      <c r="H235">
        <v>0.25</v>
      </c>
      <c r="I235">
        <v>0.25</v>
      </c>
    </row>
    <row r="236" spans="1:9" x14ac:dyDescent="0.35">
      <c r="A236" t="s">
        <v>279</v>
      </c>
      <c r="B236">
        <v>0.25</v>
      </c>
      <c r="C236">
        <v>1</v>
      </c>
      <c r="D236">
        <v>0.25</v>
      </c>
      <c r="E236">
        <v>0.25</v>
      </c>
      <c r="F236">
        <v>0.25</v>
      </c>
      <c r="G236">
        <v>0.25</v>
      </c>
      <c r="H236">
        <v>0.25</v>
      </c>
      <c r="I236">
        <v>0.25</v>
      </c>
    </row>
    <row r="237" spans="1:9" x14ac:dyDescent="0.35">
      <c r="A237" t="s">
        <v>281</v>
      </c>
      <c r="B237">
        <v>0.25</v>
      </c>
      <c r="C237">
        <v>0.25</v>
      </c>
      <c r="D237">
        <v>1</v>
      </c>
      <c r="E237">
        <v>0.25</v>
      </c>
      <c r="F237">
        <v>0.25</v>
      </c>
      <c r="G237">
        <v>0.25</v>
      </c>
      <c r="H237">
        <v>0.25</v>
      </c>
      <c r="I237">
        <v>0.25</v>
      </c>
    </row>
    <row r="238" spans="1:9" x14ac:dyDescent="0.35">
      <c r="A238" t="s">
        <v>283</v>
      </c>
      <c r="B238">
        <v>0.25</v>
      </c>
      <c r="C238">
        <v>0.25</v>
      </c>
      <c r="D238">
        <v>0.25</v>
      </c>
      <c r="E238">
        <v>1</v>
      </c>
      <c r="F238">
        <v>0.25</v>
      </c>
      <c r="G238">
        <v>0.25</v>
      </c>
      <c r="H238">
        <v>0.25</v>
      </c>
      <c r="I238">
        <v>0.25</v>
      </c>
    </row>
    <row r="239" spans="1:9" x14ac:dyDescent="0.35">
      <c r="A239" t="s">
        <v>285</v>
      </c>
      <c r="B239">
        <v>0.25</v>
      </c>
      <c r="C239">
        <v>0.25</v>
      </c>
      <c r="D239">
        <v>0.25</v>
      </c>
      <c r="E239">
        <v>0.25</v>
      </c>
      <c r="F239">
        <v>1</v>
      </c>
      <c r="G239">
        <v>0.25</v>
      </c>
      <c r="H239">
        <v>0.25</v>
      </c>
      <c r="I239">
        <v>0.25</v>
      </c>
    </row>
    <row r="240" spans="1:9" x14ac:dyDescent="0.35">
      <c r="A240" t="s">
        <v>287</v>
      </c>
      <c r="B240">
        <v>0.25</v>
      </c>
      <c r="C240">
        <v>0.25</v>
      </c>
      <c r="D240">
        <v>0.25</v>
      </c>
      <c r="E240">
        <v>0.25</v>
      </c>
      <c r="F240">
        <v>0.25</v>
      </c>
      <c r="G240">
        <v>1</v>
      </c>
      <c r="H240">
        <v>0.25</v>
      </c>
      <c r="I240">
        <v>0.25</v>
      </c>
    </row>
    <row r="241" spans="1:13" x14ac:dyDescent="0.35">
      <c r="A241" t="s">
        <v>289</v>
      </c>
      <c r="B241">
        <v>0.25</v>
      </c>
      <c r="C241">
        <v>0.25</v>
      </c>
      <c r="D241">
        <v>0.25</v>
      </c>
      <c r="E241">
        <v>0.25</v>
      </c>
      <c r="F241">
        <v>0.25</v>
      </c>
      <c r="G241">
        <v>0.25</v>
      </c>
      <c r="H241">
        <v>1</v>
      </c>
      <c r="I241">
        <v>0.25</v>
      </c>
    </row>
    <row r="242" spans="1:13" x14ac:dyDescent="0.35">
      <c r="A242" t="s">
        <v>291</v>
      </c>
      <c r="B242">
        <v>0.25</v>
      </c>
      <c r="C242">
        <v>0.25</v>
      </c>
      <c r="D242">
        <v>0.25</v>
      </c>
      <c r="E242">
        <v>0.25</v>
      </c>
      <c r="F242">
        <v>0.25</v>
      </c>
      <c r="G242">
        <v>0.25</v>
      </c>
      <c r="H242">
        <v>0.25</v>
      </c>
      <c r="I242">
        <v>1</v>
      </c>
    </row>
    <row r="245" spans="1:13" x14ac:dyDescent="0.35">
      <c r="A245" t="s">
        <v>387</v>
      </c>
    </row>
    <row r="246" spans="1:13" x14ac:dyDescent="0.35">
      <c r="B246" t="s">
        <v>301</v>
      </c>
      <c r="C246" t="s">
        <v>302</v>
      </c>
      <c r="D246" t="s">
        <v>303</v>
      </c>
      <c r="E246" t="s">
        <v>304</v>
      </c>
      <c r="F246" t="s">
        <v>305</v>
      </c>
      <c r="G246" t="s">
        <v>306</v>
      </c>
      <c r="H246" t="s">
        <v>307</v>
      </c>
      <c r="I246" t="s">
        <v>309</v>
      </c>
      <c r="J246" t="s">
        <v>311</v>
      </c>
      <c r="K246" t="s">
        <v>312</v>
      </c>
      <c r="L246" t="s">
        <v>313</v>
      </c>
      <c r="M246" t="s">
        <v>315</v>
      </c>
    </row>
    <row r="247" spans="1:13" x14ac:dyDescent="0.35">
      <c r="A247" t="s">
        <v>301</v>
      </c>
      <c r="B247">
        <v>1</v>
      </c>
      <c r="C247">
        <v>0.97</v>
      </c>
      <c r="D247">
        <v>0.91400000000000003</v>
      </c>
      <c r="E247">
        <v>0.81100000000000005</v>
      </c>
      <c r="F247">
        <v>0.71899999999999997</v>
      </c>
      <c r="G247">
        <v>0.56599999999999995</v>
      </c>
      <c r="H247">
        <v>0.4</v>
      </c>
      <c r="I247">
        <v>0.4</v>
      </c>
      <c r="J247">
        <v>0.4</v>
      </c>
      <c r="K247">
        <v>0.4</v>
      </c>
      <c r="L247">
        <v>0.4</v>
      </c>
      <c r="M247">
        <v>0</v>
      </c>
    </row>
    <row r="248" spans="1:13" x14ac:dyDescent="0.35">
      <c r="A248" t="s">
        <v>302</v>
      </c>
      <c r="B248">
        <v>0.97</v>
      </c>
      <c r="C248">
        <v>1</v>
      </c>
      <c r="D248">
        <v>0.97</v>
      </c>
      <c r="E248">
        <v>0.91400000000000003</v>
      </c>
      <c r="F248">
        <v>0.86099999999999999</v>
      </c>
      <c r="G248">
        <v>0.76300000000000001</v>
      </c>
      <c r="H248">
        <v>0.56599999999999995</v>
      </c>
      <c r="I248">
        <v>0.41899999999999998</v>
      </c>
      <c r="J248">
        <v>0.4</v>
      </c>
      <c r="K248">
        <v>0.4</v>
      </c>
      <c r="L248">
        <v>0.4</v>
      </c>
      <c r="M248">
        <v>0</v>
      </c>
    </row>
    <row r="249" spans="1:13" x14ac:dyDescent="0.35">
      <c r="A249" t="s">
        <v>303</v>
      </c>
      <c r="B249">
        <v>0.91400000000000003</v>
      </c>
      <c r="C249">
        <v>0.97</v>
      </c>
      <c r="D249">
        <v>1</v>
      </c>
      <c r="E249">
        <v>0.97</v>
      </c>
      <c r="F249">
        <v>0.94199999999999995</v>
      </c>
      <c r="G249">
        <v>0.88700000000000001</v>
      </c>
      <c r="H249">
        <v>0.76300000000000001</v>
      </c>
      <c r="I249">
        <v>0.65700000000000003</v>
      </c>
      <c r="J249">
        <v>0.56599999999999995</v>
      </c>
      <c r="K249">
        <v>0.41899999999999998</v>
      </c>
      <c r="L249">
        <v>0.4</v>
      </c>
      <c r="M249">
        <v>0</v>
      </c>
    </row>
    <row r="250" spans="1:13" x14ac:dyDescent="0.35">
      <c r="A250" t="s">
        <v>304</v>
      </c>
      <c r="B250">
        <v>0.81100000000000005</v>
      </c>
      <c r="C250">
        <v>0.91400000000000003</v>
      </c>
      <c r="D250">
        <v>0.97</v>
      </c>
      <c r="E250">
        <v>1</v>
      </c>
      <c r="F250">
        <v>0.98499999999999999</v>
      </c>
      <c r="G250">
        <v>0.95599999999999996</v>
      </c>
      <c r="H250">
        <v>0.88700000000000001</v>
      </c>
      <c r="I250">
        <v>0.82299999999999995</v>
      </c>
      <c r="J250">
        <v>0.76300000000000001</v>
      </c>
      <c r="K250">
        <v>0.65700000000000003</v>
      </c>
      <c r="L250">
        <v>0.4</v>
      </c>
      <c r="M250">
        <v>0</v>
      </c>
    </row>
    <row r="251" spans="1:13" x14ac:dyDescent="0.35">
      <c r="A251" t="s">
        <v>305</v>
      </c>
      <c r="B251">
        <v>0.71899999999999997</v>
      </c>
      <c r="C251">
        <v>0.86099999999999999</v>
      </c>
      <c r="D251">
        <v>0.94199999999999995</v>
      </c>
      <c r="E251">
        <v>0.98499999999999999</v>
      </c>
      <c r="F251">
        <v>1</v>
      </c>
      <c r="G251">
        <v>0.98</v>
      </c>
      <c r="H251">
        <v>0.93200000000000005</v>
      </c>
      <c r="I251">
        <v>0.88700000000000001</v>
      </c>
      <c r="J251">
        <v>0.84399999999999997</v>
      </c>
      <c r="K251">
        <v>0.76300000000000001</v>
      </c>
      <c r="L251">
        <v>0.4</v>
      </c>
      <c r="M251">
        <v>0</v>
      </c>
    </row>
    <row r="252" spans="1:13" x14ac:dyDescent="0.35">
      <c r="A252" t="s">
        <v>306</v>
      </c>
      <c r="B252">
        <v>0.56599999999999995</v>
      </c>
      <c r="C252">
        <v>0.76300000000000001</v>
      </c>
      <c r="D252">
        <v>0.88700000000000001</v>
      </c>
      <c r="E252">
        <v>0.95599999999999996</v>
      </c>
      <c r="F252">
        <v>0.98</v>
      </c>
      <c r="G252">
        <v>1</v>
      </c>
      <c r="H252">
        <v>0.97</v>
      </c>
      <c r="I252">
        <v>0.94199999999999995</v>
      </c>
      <c r="J252">
        <v>0.91400000000000003</v>
      </c>
      <c r="K252">
        <v>0.86099999999999999</v>
      </c>
      <c r="L252">
        <v>0.4</v>
      </c>
      <c r="M252">
        <v>0</v>
      </c>
    </row>
    <row r="253" spans="1:13" x14ac:dyDescent="0.35">
      <c r="A253" t="s">
        <v>307</v>
      </c>
      <c r="B253">
        <v>0.4</v>
      </c>
      <c r="C253">
        <v>0.56599999999999995</v>
      </c>
      <c r="D253">
        <v>0.76300000000000001</v>
      </c>
      <c r="E253">
        <v>0.88700000000000001</v>
      </c>
      <c r="F253">
        <v>0.93200000000000005</v>
      </c>
      <c r="G253">
        <v>0.97</v>
      </c>
      <c r="H253">
        <v>1</v>
      </c>
      <c r="I253">
        <v>0.98499999999999999</v>
      </c>
      <c r="J253">
        <v>0.97</v>
      </c>
      <c r="K253">
        <v>0.94199999999999995</v>
      </c>
      <c r="L253">
        <v>0.4</v>
      </c>
      <c r="M253">
        <v>0</v>
      </c>
    </row>
    <row r="254" spans="1:13" x14ac:dyDescent="0.35">
      <c r="A254" t="s">
        <v>309</v>
      </c>
      <c r="B254">
        <v>0.4</v>
      </c>
      <c r="C254">
        <v>0.41899999999999998</v>
      </c>
      <c r="D254">
        <v>0.65700000000000003</v>
      </c>
      <c r="E254">
        <v>0.82299999999999995</v>
      </c>
      <c r="F254">
        <v>0.88700000000000001</v>
      </c>
      <c r="G254">
        <v>0.94199999999999995</v>
      </c>
      <c r="H254">
        <v>0.98499999999999999</v>
      </c>
      <c r="I254">
        <v>1</v>
      </c>
      <c r="J254">
        <v>0.99</v>
      </c>
      <c r="K254">
        <v>0.97</v>
      </c>
      <c r="L254">
        <v>0.4</v>
      </c>
      <c r="M254">
        <v>0</v>
      </c>
    </row>
    <row r="255" spans="1:13" x14ac:dyDescent="0.35">
      <c r="A255" t="s">
        <v>311</v>
      </c>
      <c r="B255">
        <v>0.4</v>
      </c>
      <c r="C255">
        <v>0.4</v>
      </c>
      <c r="D255">
        <v>0.56599999999999995</v>
      </c>
      <c r="E255">
        <v>0.76300000000000001</v>
      </c>
      <c r="F255">
        <v>0.84399999999999997</v>
      </c>
      <c r="G255">
        <v>0.91400000000000003</v>
      </c>
      <c r="H255">
        <v>0.97</v>
      </c>
      <c r="I255">
        <v>0.99</v>
      </c>
      <c r="J255">
        <v>1</v>
      </c>
      <c r="K255">
        <v>0.98499999999999999</v>
      </c>
      <c r="L255">
        <v>0.4</v>
      </c>
      <c r="M255">
        <v>0</v>
      </c>
    </row>
    <row r="256" spans="1:13" x14ac:dyDescent="0.35">
      <c r="A256" t="s">
        <v>312</v>
      </c>
      <c r="B256">
        <v>0.4</v>
      </c>
      <c r="C256">
        <v>0.4</v>
      </c>
      <c r="D256">
        <v>0.41899999999999998</v>
      </c>
      <c r="E256">
        <v>0.65700000000000003</v>
      </c>
      <c r="F256">
        <v>0.76300000000000001</v>
      </c>
      <c r="G256">
        <v>0.86099999999999999</v>
      </c>
      <c r="H256">
        <v>0.94199999999999995</v>
      </c>
      <c r="I256">
        <v>0.97</v>
      </c>
      <c r="J256">
        <v>0.98499999999999999</v>
      </c>
      <c r="K256">
        <v>1</v>
      </c>
      <c r="L256">
        <v>0.4</v>
      </c>
      <c r="M256">
        <v>0</v>
      </c>
    </row>
    <row r="257" spans="1:13" x14ac:dyDescent="0.35">
      <c r="A257" t="s">
        <v>313</v>
      </c>
      <c r="B257">
        <v>0.4</v>
      </c>
      <c r="C257">
        <v>0.4</v>
      </c>
      <c r="D257">
        <v>0.4</v>
      </c>
      <c r="E257">
        <v>0.4</v>
      </c>
      <c r="F257">
        <v>0.4</v>
      </c>
      <c r="G257">
        <v>0.4</v>
      </c>
      <c r="H257">
        <v>0.4</v>
      </c>
      <c r="I257">
        <v>0.4</v>
      </c>
      <c r="J257">
        <v>0.4</v>
      </c>
      <c r="K257">
        <v>0.4</v>
      </c>
      <c r="L257">
        <v>1</v>
      </c>
      <c r="M257">
        <v>0</v>
      </c>
    </row>
    <row r="258" spans="1:13" x14ac:dyDescent="0.35">
      <c r="A258" t="s">
        <v>315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1</v>
      </c>
    </row>
    <row r="261" spans="1:13" x14ac:dyDescent="0.35">
      <c r="A261" t="s">
        <v>388</v>
      </c>
    </row>
    <row r="262" spans="1:13" x14ac:dyDescent="0.35">
      <c r="B262" t="s">
        <v>318</v>
      </c>
      <c r="C262" t="s">
        <v>320</v>
      </c>
      <c r="D262" t="s">
        <v>321</v>
      </c>
      <c r="E262" t="s">
        <v>323</v>
      </c>
      <c r="F262" t="s">
        <v>324</v>
      </c>
      <c r="G262" t="s">
        <v>325</v>
      </c>
      <c r="H262" t="s">
        <v>326</v>
      </c>
    </row>
    <row r="263" spans="1:13" x14ac:dyDescent="0.35">
      <c r="A263" t="s">
        <v>318</v>
      </c>
      <c r="B263">
        <v>1</v>
      </c>
      <c r="C263">
        <v>0.97</v>
      </c>
      <c r="D263">
        <v>0.91400000000000003</v>
      </c>
      <c r="E263">
        <v>0.81100000000000005</v>
      </c>
      <c r="F263">
        <v>0.71899999999999997</v>
      </c>
      <c r="G263">
        <v>0.56599999999999995</v>
      </c>
      <c r="H263">
        <v>0.4</v>
      </c>
    </row>
    <row r="264" spans="1:13" x14ac:dyDescent="0.35">
      <c r="A264" t="s">
        <v>320</v>
      </c>
      <c r="B264">
        <v>0.97</v>
      </c>
      <c r="C264">
        <v>1</v>
      </c>
      <c r="D264">
        <v>0.97</v>
      </c>
      <c r="E264">
        <v>0.91400000000000003</v>
      </c>
      <c r="F264">
        <v>0.86099999999999999</v>
      </c>
      <c r="G264">
        <v>0.76300000000000001</v>
      </c>
      <c r="H264">
        <v>0.56599999999999995</v>
      </c>
    </row>
    <row r="265" spans="1:13" x14ac:dyDescent="0.35">
      <c r="A265" t="s">
        <v>321</v>
      </c>
      <c r="B265">
        <v>0.91400000000000003</v>
      </c>
      <c r="C265">
        <v>0.97</v>
      </c>
      <c r="D265">
        <v>1</v>
      </c>
      <c r="E265">
        <v>0.97</v>
      </c>
      <c r="F265">
        <v>0.94199999999999995</v>
      </c>
      <c r="G265">
        <v>0.88700000000000001</v>
      </c>
      <c r="H265">
        <v>0.76300000000000001</v>
      </c>
    </row>
    <row r="266" spans="1:13" x14ac:dyDescent="0.35">
      <c r="A266" t="s">
        <v>323</v>
      </c>
      <c r="B266">
        <v>0.81100000000000005</v>
      </c>
      <c r="C266">
        <v>0.91400000000000003</v>
      </c>
      <c r="D266">
        <v>0.97</v>
      </c>
      <c r="E266">
        <v>1</v>
      </c>
      <c r="F266">
        <v>0.98499999999999999</v>
      </c>
      <c r="G266">
        <v>0.95599999999999996</v>
      </c>
      <c r="H266">
        <v>0.88700000000000001</v>
      </c>
    </row>
    <row r="267" spans="1:13" x14ac:dyDescent="0.35">
      <c r="A267" t="s">
        <v>324</v>
      </c>
      <c r="B267">
        <v>0.71899999999999997</v>
      </c>
      <c r="C267">
        <v>0.86099999999999999</v>
      </c>
      <c r="D267">
        <v>0.94199999999999995</v>
      </c>
      <c r="E267">
        <v>0.98499999999999999</v>
      </c>
      <c r="F267">
        <v>1</v>
      </c>
      <c r="G267">
        <v>0.98</v>
      </c>
      <c r="H267">
        <v>0.93200000000000005</v>
      </c>
    </row>
    <row r="268" spans="1:13" x14ac:dyDescent="0.35">
      <c r="A268" t="s">
        <v>325</v>
      </c>
      <c r="B268">
        <v>0.56599999999999995</v>
      </c>
      <c r="C268">
        <v>0.76300000000000001</v>
      </c>
      <c r="D268">
        <v>0.88700000000000001</v>
      </c>
      <c r="E268">
        <v>0.95599999999999996</v>
      </c>
      <c r="F268">
        <v>0.98</v>
      </c>
      <c r="G268">
        <v>1</v>
      </c>
      <c r="H268">
        <v>0.97</v>
      </c>
    </row>
    <row r="269" spans="1:13" x14ac:dyDescent="0.35">
      <c r="A269" t="s">
        <v>326</v>
      </c>
      <c r="B269">
        <v>0.4</v>
      </c>
      <c r="C269">
        <v>0.56599999999999995</v>
      </c>
      <c r="D269">
        <v>0.76300000000000001</v>
      </c>
      <c r="E269">
        <v>0.88700000000000001</v>
      </c>
      <c r="F269">
        <v>0.93200000000000005</v>
      </c>
      <c r="G269">
        <v>0.97</v>
      </c>
      <c r="H269">
        <v>1</v>
      </c>
    </row>
    <row r="272" spans="1:13" x14ac:dyDescent="0.35">
      <c r="A272" t="s">
        <v>389</v>
      </c>
    </row>
    <row r="273" spans="1:9" x14ac:dyDescent="0.35">
      <c r="B273" t="s">
        <v>328</v>
      </c>
      <c r="C273" t="s">
        <v>329</v>
      </c>
      <c r="D273" t="s">
        <v>331</v>
      </c>
    </row>
    <row r="274" spans="1:9" x14ac:dyDescent="0.35">
      <c r="A274" t="s">
        <v>328</v>
      </c>
      <c r="B274">
        <v>1</v>
      </c>
      <c r="C274">
        <v>0.99004983374916811</v>
      </c>
      <c r="D274">
        <v>0.95122942450071402</v>
      </c>
    </row>
    <row r="275" spans="1:9" x14ac:dyDescent="0.35">
      <c r="A275" t="s">
        <v>329</v>
      </c>
      <c r="B275">
        <v>0.99004983374916811</v>
      </c>
      <c r="C275">
        <v>1</v>
      </c>
      <c r="D275">
        <v>0.98019867330675525</v>
      </c>
    </row>
    <row r="276" spans="1:9" x14ac:dyDescent="0.35">
      <c r="A276" t="s">
        <v>331</v>
      </c>
      <c r="B276">
        <v>0.95122942450071402</v>
      </c>
      <c r="C276">
        <v>0.98019867330675525</v>
      </c>
      <c r="D276">
        <v>1</v>
      </c>
    </row>
    <row r="279" spans="1:9" x14ac:dyDescent="0.35">
      <c r="A279" t="s">
        <v>390</v>
      </c>
    </row>
    <row r="280" spans="1:9" x14ac:dyDescent="0.35">
      <c r="B280" t="s">
        <v>332</v>
      </c>
      <c r="C280" t="s">
        <v>333</v>
      </c>
      <c r="D280" t="s">
        <v>334</v>
      </c>
      <c r="E280" t="s">
        <v>335</v>
      </c>
      <c r="F280" t="s">
        <v>336</v>
      </c>
      <c r="G280" t="s">
        <v>337</v>
      </c>
      <c r="H280" t="s">
        <v>338</v>
      </c>
      <c r="I280" t="s">
        <v>339</v>
      </c>
    </row>
    <row r="281" spans="1:9" x14ac:dyDescent="0.35">
      <c r="A281" t="s">
        <v>332</v>
      </c>
      <c r="B281">
        <v>1</v>
      </c>
      <c r="C281">
        <v>0.98019867330675525</v>
      </c>
      <c r="D281">
        <v>0.97044553354850815</v>
      </c>
      <c r="E281">
        <v>0.98019867330675525</v>
      </c>
      <c r="F281">
        <v>0.96078943915232307</v>
      </c>
      <c r="G281">
        <v>0.95122942450071402</v>
      </c>
      <c r="H281">
        <v>0.96078943915232318</v>
      </c>
      <c r="I281">
        <v>0.94176453358424861</v>
      </c>
    </row>
    <row r="282" spans="1:9" x14ac:dyDescent="0.35">
      <c r="A282" t="s">
        <v>333</v>
      </c>
      <c r="B282">
        <v>0.98019867330675525</v>
      </c>
      <c r="C282">
        <v>1</v>
      </c>
      <c r="D282">
        <v>0.93239381990594816</v>
      </c>
      <c r="E282">
        <v>0.96078943915232307</v>
      </c>
      <c r="F282">
        <v>0.98019867330675525</v>
      </c>
      <c r="G282">
        <v>0.91393118527122819</v>
      </c>
      <c r="H282">
        <v>0.94176453358424861</v>
      </c>
      <c r="I282">
        <v>0.96078943915232318</v>
      </c>
    </row>
    <row r="283" spans="1:9" x14ac:dyDescent="0.35">
      <c r="A283" t="s">
        <v>334</v>
      </c>
      <c r="B283">
        <v>0.97044553354850815</v>
      </c>
      <c r="C283">
        <v>0.93239381990594816</v>
      </c>
      <c r="D283">
        <v>1</v>
      </c>
      <c r="E283">
        <v>0.99004983374916811</v>
      </c>
      <c r="F283">
        <v>0.95122942450071402</v>
      </c>
      <c r="G283">
        <v>0.99335550625503444</v>
      </c>
      <c r="H283">
        <v>0.9834714538216176</v>
      </c>
      <c r="I283">
        <v>0.94490898653959188</v>
      </c>
    </row>
    <row r="284" spans="1:9" x14ac:dyDescent="0.35">
      <c r="A284" t="s">
        <v>335</v>
      </c>
      <c r="B284">
        <v>0.98019867330675525</v>
      </c>
      <c r="C284">
        <v>0.96078943915232307</v>
      </c>
      <c r="D284">
        <v>0.99004983374916811</v>
      </c>
      <c r="E284">
        <v>1</v>
      </c>
      <c r="F284">
        <v>0.98019867330675525</v>
      </c>
      <c r="G284">
        <v>0.9834714538216176</v>
      </c>
      <c r="H284">
        <v>0.99335550625503444</v>
      </c>
      <c r="I284">
        <v>0.973685749353145</v>
      </c>
    </row>
    <row r="285" spans="1:9" x14ac:dyDescent="0.35">
      <c r="A285" t="s">
        <v>336</v>
      </c>
      <c r="B285">
        <v>0.96078943915232307</v>
      </c>
      <c r="C285">
        <v>0.98019867330675525</v>
      </c>
      <c r="D285">
        <v>0.95122942450071402</v>
      </c>
      <c r="E285">
        <v>0.98019867330675525</v>
      </c>
      <c r="F285">
        <v>1</v>
      </c>
      <c r="G285">
        <v>0.94490898653959188</v>
      </c>
      <c r="H285">
        <v>0.973685749353145</v>
      </c>
      <c r="I285">
        <v>0.99335550625503444</v>
      </c>
    </row>
    <row r="286" spans="1:9" x14ac:dyDescent="0.35">
      <c r="A286" t="s">
        <v>337</v>
      </c>
      <c r="B286">
        <v>0.95122942450071402</v>
      </c>
      <c r="C286">
        <v>0.91393118527122819</v>
      </c>
      <c r="D286">
        <v>0.99335550625503444</v>
      </c>
      <c r="E286">
        <v>0.9834714538216176</v>
      </c>
      <c r="F286">
        <v>0.94490898653959188</v>
      </c>
      <c r="G286">
        <v>1</v>
      </c>
      <c r="H286">
        <v>0.99004983374916811</v>
      </c>
      <c r="I286">
        <v>0.95122942450071402</v>
      </c>
    </row>
    <row r="287" spans="1:9" x14ac:dyDescent="0.35">
      <c r="A287" t="s">
        <v>338</v>
      </c>
      <c r="B287">
        <v>0.96078943915232318</v>
      </c>
      <c r="C287">
        <v>0.94176453358424861</v>
      </c>
      <c r="D287">
        <v>0.9834714538216176</v>
      </c>
      <c r="E287">
        <v>0.99335550625503444</v>
      </c>
      <c r="F287">
        <v>0.973685749353145</v>
      </c>
      <c r="G287">
        <v>0.99004983374916811</v>
      </c>
      <c r="H287">
        <v>1</v>
      </c>
      <c r="I287">
        <v>0.98019867330675525</v>
      </c>
    </row>
    <row r="288" spans="1:9" x14ac:dyDescent="0.35">
      <c r="A288" t="s">
        <v>339</v>
      </c>
      <c r="B288">
        <v>0.94176453358424861</v>
      </c>
      <c r="C288">
        <v>0.96078943915232318</v>
      </c>
      <c r="D288">
        <v>0.94490898653959188</v>
      </c>
      <c r="E288">
        <v>0.973685749353145</v>
      </c>
      <c r="F288">
        <v>0.99335550625503444</v>
      </c>
      <c r="G288">
        <v>0.95122942450071402</v>
      </c>
      <c r="H288">
        <v>0.98019867330675525</v>
      </c>
      <c r="I288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2"/>
  <sheetViews>
    <sheetView workbookViewId="0"/>
  </sheetViews>
  <sheetFormatPr defaultRowHeight="14.5" x14ac:dyDescent="0.35"/>
  <sheetData>
    <row r="1" spans="1:9" x14ac:dyDescent="0.35">
      <c r="A1" s="1" t="s">
        <v>12</v>
      </c>
      <c r="B1" s="1" t="s">
        <v>13</v>
      </c>
      <c r="C1" s="1" t="s">
        <v>14</v>
      </c>
      <c r="D1" s="1" t="s">
        <v>358</v>
      </c>
      <c r="E1" s="1" t="s">
        <v>22</v>
      </c>
      <c r="F1" s="1" t="s">
        <v>359</v>
      </c>
      <c r="G1" s="1" t="s">
        <v>360</v>
      </c>
      <c r="H1" s="1" t="s">
        <v>361</v>
      </c>
      <c r="I1" s="1" t="s">
        <v>362</v>
      </c>
    </row>
    <row r="2" spans="1:9" x14ac:dyDescent="0.35">
      <c r="A2" t="s">
        <v>23</v>
      </c>
      <c r="B2" t="s">
        <v>24</v>
      </c>
      <c r="C2">
        <v>2</v>
      </c>
      <c r="D2">
        <v>5</v>
      </c>
      <c r="E2">
        <v>15</v>
      </c>
      <c r="F2">
        <v>3891580</v>
      </c>
      <c r="G2">
        <v>3891580</v>
      </c>
      <c r="H2" t="s">
        <v>363</v>
      </c>
      <c r="I2" t="s">
        <v>392</v>
      </c>
    </row>
    <row r="3" spans="1:9" x14ac:dyDescent="0.35">
      <c r="A3" t="s">
        <v>23</v>
      </c>
      <c r="B3" t="s">
        <v>24</v>
      </c>
      <c r="C3">
        <v>5</v>
      </c>
      <c r="D3">
        <v>5</v>
      </c>
      <c r="E3">
        <v>15</v>
      </c>
      <c r="F3">
        <v>3152020</v>
      </c>
      <c r="G3">
        <v>2850105.659936137</v>
      </c>
      <c r="H3" t="s">
        <v>363</v>
      </c>
      <c r="I3" t="s">
        <v>392</v>
      </c>
    </row>
    <row r="4" spans="1:9" x14ac:dyDescent="0.35">
      <c r="A4" t="s">
        <v>23</v>
      </c>
      <c r="B4" t="s">
        <v>24</v>
      </c>
      <c r="C4">
        <v>6</v>
      </c>
      <c r="D4">
        <v>1</v>
      </c>
      <c r="E4">
        <v>3</v>
      </c>
      <c r="F4">
        <v>1619527.5</v>
      </c>
      <c r="G4">
        <v>1619527.5</v>
      </c>
      <c r="H4" t="s">
        <v>363</v>
      </c>
      <c r="I4" t="s">
        <v>392</v>
      </c>
    </row>
    <row r="5" spans="1:9" x14ac:dyDescent="0.35">
      <c r="A5" t="s">
        <v>23</v>
      </c>
      <c r="B5" t="s">
        <v>24</v>
      </c>
      <c r="C5">
        <v>7</v>
      </c>
      <c r="D5">
        <v>2</v>
      </c>
      <c r="E5">
        <v>6</v>
      </c>
      <c r="F5">
        <v>1883930</v>
      </c>
      <c r="G5">
        <v>1783830.2831687769</v>
      </c>
      <c r="H5" t="s">
        <v>363</v>
      </c>
      <c r="I5" t="s">
        <v>392</v>
      </c>
    </row>
    <row r="6" spans="1:9" x14ac:dyDescent="0.35">
      <c r="A6" t="s">
        <v>23</v>
      </c>
      <c r="B6" t="s">
        <v>24</v>
      </c>
      <c r="C6">
        <v>8</v>
      </c>
      <c r="D6">
        <v>6</v>
      </c>
      <c r="E6">
        <v>18</v>
      </c>
      <c r="F6">
        <v>3701880</v>
      </c>
      <c r="G6">
        <v>2977675.101067998</v>
      </c>
      <c r="H6" t="s">
        <v>363</v>
      </c>
      <c r="I6" t="s">
        <v>392</v>
      </c>
    </row>
    <row r="7" spans="1:9" x14ac:dyDescent="0.35">
      <c r="A7" t="s">
        <v>23</v>
      </c>
      <c r="B7" t="s">
        <v>24</v>
      </c>
      <c r="C7">
        <v>9</v>
      </c>
      <c r="D7">
        <v>2</v>
      </c>
      <c r="E7">
        <v>6</v>
      </c>
      <c r="F7">
        <v>704575</v>
      </c>
      <c r="G7">
        <v>567626.24573195179</v>
      </c>
      <c r="H7" t="s">
        <v>363</v>
      </c>
      <c r="I7" t="s">
        <v>392</v>
      </c>
    </row>
    <row r="8" spans="1:9" x14ac:dyDescent="0.35">
      <c r="A8" t="s">
        <v>23</v>
      </c>
      <c r="B8" t="s">
        <v>24</v>
      </c>
      <c r="C8">
        <v>10</v>
      </c>
      <c r="D8">
        <v>4</v>
      </c>
      <c r="E8">
        <v>12</v>
      </c>
      <c r="F8">
        <v>1605572.5</v>
      </c>
      <c r="G8">
        <v>1279186.365807872</v>
      </c>
      <c r="H8" t="s">
        <v>363</v>
      </c>
      <c r="I8" t="s">
        <v>392</v>
      </c>
    </row>
    <row r="9" spans="1:9" x14ac:dyDescent="0.35">
      <c r="A9" t="s">
        <v>23</v>
      </c>
      <c r="B9" t="s">
        <v>51</v>
      </c>
      <c r="C9">
        <v>3</v>
      </c>
      <c r="D9">
        <v>6</v>
      </c>
      <c r="E9">
        <v>6</v>
      </c>
      <c r="F9">
        <v>-136195.23068475991</v>
      </c>
      <c r="G9">
        <v>106744.94949119769</v>
      </c>
      <c r="H9" t="s">
        <v>363</v>
      </c>
      <c r="I9" t="s">
        <v>392</v>
      </c>
    </row>
    <row r="10" spans="1:9" x14ac:dyDescent="0.35">
      <c r="A10" t="s">
        <v>23</v>
      </c>
      <c r="B10" t="s">
        <v>51</v>
      </c>
      <c r="C10">
        <v>4</v>
      </c>
      <c r="D10">
        <v>18</v>
      </c>
      <c r="E10">
        <v>18</v>
      </c>
      <c r="F10">
        <v>-328663.75158985239</v>
      </c>
      <c r="G10">
        <v>226042.09716184769</v>
      </c>
      <c r="H10" t="s">
        <v>363</v>
      </c>
      <c r="I10" t="s">
        <v>392</v>
      </c>
    </row>
    <row r="11" spans="1:9" x14ac:dyDescent="0.35">
      <c r="A11" t="s">
        <v>23</v>
      </c>
      <c r="B11" t="s">
        <v>51</v>
      </c>
      <c r="C11">
        <v>5</v>
      </c>
      <c r="D11">
        <v>12</v>
      </c>
      <c r="E11">
        <v>12</v>
      </c>
      <c r="F11">
        <v>-312046.1054888221</v>
      </c>
      <c r="G11">
        <v>234343.14689429881</v>
      </c>
      <c r="H11" t="s">
        <v>363</v>
      </c>
      <c r="I11" t="s">
        <v>392</v>
      </c>
    </row>
    <row r="12" spans="1:9" x14ac:dyDescent="0.35">
      <c r="A12" t="s">
        <v>23</v>
      </c>
      <c r="B12" t="s">
        <v>51</v>
      </c>
      <c r="C12">
        <v>6</v>
      </c>
      <c r="D12">
        <v>21</v>
      </c>
      <c r="E12">
        <v>21</v>
      </c>
      <c r="F12">
        <v>-269546.72280388762</v>
      </c>
      <c r="G12">
        <v>183477.92340292339</v>
      </c>
      <c r="H12" t="s">
        <v>363</v>
      </c>
      <c r="I12" t="s">
        <v>392</v>
      </c>
    </row>
    <row r="13" spans="1:9" x14ac:dyDescent="0.35">
      <c r="A13" t="s">
        <v>23</v>
      </c>
      <c r="B13" t="s">
        <v>51</v>
      </c>
      <c r="C13">
        <v>7</v>
      </c>
      <c r="D13">
        <v>9</v>
      </c>
      <c r="E13">
        <v>9</v>
      </c>
      <c r="F13">
        <v>-81289.082937842919</v>
      </c>
      <c r="G13">
        <v>62236.093668811023</v>
      </c>
      <c r="H13" t="s">
        <v>363</v>
      </c>
      <c r="I13" t="s">
        <v>392</v>
      </c>
    </row>
    <row r="14" spans="1:9" x14ac:dyDescent="0.35">
      <c r="A14" t="s">
        <v>23</v>
      </c>
      <c r="B14" t="s">
        <v>158</v>
      </c>
      <c r="C14">
        <v>1</v>
      </c>
      <c r="D14">
        <v>3</v>
      </c>
      <c r="E14">
        <v>3</v>
      </c>
      <c r="F14">
        <v>-846905.66391080618</v>
      </c>
      <c r="G14">
        <v>846905.66391080618</v>
      </c>
      <c r="H14" t="s">
        <v>363</v>
      </c>
      <c r="I14" t="s">
        <v>392</v>
      </c>
    </row>
    <row r="15" spans="1:9" x14ac:dyDescent="0.35">
      <c r="A15" t="s">
        <v>23</v>
      </c>
      <c r="B15" t="s">
        <v>158</v>
      </c>
      <c r="C15">
        <v>4</v>
      </c>
      <c r="D15">
        <v>10</v>
      </c>
      <c r="E15">
        <v>10</v>
      </c>
      <c r="F15">
        <v>-13674118.372000759</v>
      </c>
      <c r="G15">
        <v>13179577.80518348</v>
      </c>
      <c r="H15" t="s">
        <v>363</v>
      </c>
      <c r="I15" t="s">
        <v>392</v>
      </c>
    </row>
    <row r="16" spans="1:9" x14ac:dyDescent="0.35">
      <c r="A16" t="s">
        <v>23</v>
      </c>
      <c r="B16" t="s">
        <v>158</v>
      </c>
      <c r="C16">
        <v>6</v>
      </c>
      <c r="D16">
        <v>6</v>
      </c>
      <c r="E16">
        <v>6</v>
      </c>
      <c r="F16">
        <v>-6945159.0182232866</v>
      </c>
      <c r="G16">
        <v>5959107.4823942874</v>
      </c>
      <c r="H16" t="s">
        <v>363</v>
      </c>
      <c r="I16" t="s">
        <v>392</v>
      </c>
    </row>
    <row r="17" spans="1:9" x14ac:dyDescent="0.35">
      <c r="A17" t="s">
        <v>23</v>
      </c>
      <c r="B17" t="s">
        <v>158</v>
      </c>
      <c r="C17">
        <v>7</v>
      </c>
      <c r="D17">
        <v>4</v>
      </c>
      <c r="E17">
        <v>4</v>
      </c>
      <c r="F17">
        <v>-1069821.414162219</v>
      </c>
      <c r="G17">
        <v>1069821.414162219</v>
      </c>
      <c r="H17" t="s">
        <v>363</v>
      </c>
      <c r="I17" t="s">
        <v>392</v>
      </c>
    </row>
    <row r="18" spans="1:9" x14ac:dyDescent="0.35">
      <c r="A18" t="s">
        <v>23</v>
      </c>
      <c r="B18" t="s">
        <v>158</v>
      </c>
      <c r="C18">
        <v>8</v>
      </c>
      <c r="D18">
        <v>4</v>
      </c>
      <c r="E18">
        <v>4</v>
      </c>
      <c r="F18">
        <v>-4707523.9205783606</v>
      </c>
      <c r="G18">
        <v>4707523.9205783606</v>
      </c>
      <c r="H18" t="s">
        <v>363</v>
      </c>
      <c r="I18" t="s">
        <v>392</v>
      </c>
    </row>
    <row r="19" spans="1:9" x14ac:dyDescent="0.35">
      <c r="A19" t="s">
        <v>23</v>
      </c>
      <c r="B19" t="s">
        <v>158</v>
      </c>
      <c r="C19">
        <v>9</v>
      </c>
      <c r="D19">
        <v>6</v>
      </c>
      <c r="E19">
        <v>6</v>
      </c>
      <c r="F19">
        <v>-199887.93445585761</v>
      </c>
      <c r="G19">
        <v>267058.36363546009</v>
      </c>
      <c r="H19" t="s">
        <v>363</v>
      </c>
      <c r="I19" t="s">
        <v>392</v>
      </c>
    </row>
    <row r="20" spans="1:9" x14ac:dyDescent="0.35">
      <c r="A20" t="s">
        <v>23</v>
      </c>
      <c r="B20" t="s">
        <v>158</v>
      </c>
      <c r="C20">
        <v>12</v>
      </c>
      <c r="D20">
        <v>5</v>
      </c>
      <c r="E20">
        <v>5</v>
      </c>
      <c r="F20">
        <v>-1950821.595627815</v>
      </c>
      <c r="G20">
        <v>1950821.595627815</v>
      </c>
      <c r="H20" t="s">
        <v>363</v>
      </c>
      <c r="I20" t="s">
        <v>392</v>
      </c>
    </row>
    <row r="21" spans="1:9" x14ac:dyDescent="0.35">
      <c r="A21" t="s">
        <v>23</v>
      </c>
      <c r="B21" t="s">
        <v>158</v>
      </c>
      <c r="C21">
        <v>14</v>
      </c>
      <c r="D21">
        <v>8</v>
      </c>
      <c r="E21">
        <v>8</v>
      </c>
      <c r="F21">
        <v>-1170403.24422</v>
      </c>
      <c r="G21">
        <v>1020747.3729397299</v>
      </c>
      <c r="H21" t="s">
        <v>363</v>
      </c>
      <c r="I21" t="s">
        <v>392</v>
      </c>
    </row>
    <row r="22" spans="1:9" x14ac:dyDescent="0.35">
      <c r="A22" t="s">
        <v>23</v>
      </c>
      <c r="B22" t="s">
        <v>158</v>
      </c>
      <c r="C22">
        <v>15</v>
      </c>
      <c r="D22">
        <v>4</v>
      </c>
      <c r="E22">
        <v>4</v>
      </c>
      <c r="F22">
        <v>196432.42565835829</v>
      </c>
      <c r="G22">
        <v>196432.42565835829</v>
      </c>
      <c r="H22" t="s">
        <v>363</v>
      </c>
      <c r="I22" t="s">
        <v>392</v>
      </c>
    </row>
    <row r="23" spans="1:9" x14ac:dyDescent="0.35">
      <c r="A23" t="s">
        <v>23</v>
      </c>
      <c r="B23" t="s">
        <v>158</v>
      </c>
      <c r="C23">
        <v>16</v>
      </c>
      <c r="D23">
        <v>8</v>
      </c>
      <c r="E23">
        <v>8</v>
      </c>
      <c r="F23">
        <v>-3663377.1435123868</v>
      </c>
      <c r="G23">
        <v>3203998.9983680742</v>
      </c>
      <c r="H23" t="s">
        <v>363</v>
      </c>
      <c r="I23" t="s">
        <v>392</v>
      </c>
    </row>
    <row r="24" spans="1:9" x14ac:dyDescent="0.35">
      <c r="A24" t="s">
        <v>23</v>
      </c>
      <c r="B24" t="s">
        <v>272</v>
      </c>
      <c r="C24">
        <v>5</v>
      </c>
      <c r="D24">
        <v>1</v>
      </c>
      <c r="E24">
        <v>1</v>
      </c>
      <c r="F24">
        <v>774226.32299999997</v>
      </c>
      <c r="G24">
        <v>774226.32299999997</v>
      </c>
      <c r="H24" t="s">
        <v>363</v>
      </c>
      <c r="I24" t="s">
        <v>392</v>
      </c>
    </row>
    <row r="25" spans="1:9" x14ac:dyDescent="0.35">
      <c r="A25" t="s">
        <v>23</v>
      </c>
      <c r="B25" t="s">
        <v>272</v>
      </c>
      <c r="C25">
        <v>7</v>
      </c>
      <c r="D25">
        <v>1</v>
      </c>
      <c r="E25">
        <v>1</v>
      </c>
      <c r="F25">
        <v>227125.18400000001</v>
      </c>
      <c r="G25">
        <v>227125.18400000001</v>
      </c>
      <c r="H25" t="s">
        <v>363</v>
      </c>
      <c r="I25" t="s">
        <v>392</v>
      </c>
    </row>
    <row r="26" spans="1:9" x14ac:dyDescent="0.35">
      <c r="A26" t="s">
        <v>23</v>
      </c>
      <c r="B26" t="s">
        <v>272</v>
      </c>
      <c r="C26">
        <v>8</v>
      </c>
      <c r="D26">
        <v>8</v>
      </c>
      <c r="E26">
        <v>8</v>
      </c>
      <c r="F26">
        <v>10050426.220000001</v>
      </c>
      <c r="G26">
        <v>6597312.7657193504</v>
      </c>
      <c r="H26" t="s">
        <v>363</v>
      </c>
      <c r="I26" t="s">
        <v>392</v>
      </c>
    </row>
    <row r="27" spans="1:9" x14ac:dyDescent="0.35">
      <c r="A27" t="s">
        <v>23</v>
      </c>
      <c r="B27" t="s">
        <v>272</v>
      </c>
      <c r="C27">
        <v>12</v>
      </c>
      <c r="D27">
        <v>1</v>
      </c>
      <c r="E27">
        <v>4</v>
      </c>
      <c r="F27">
        <v>-785.31781240423163</v>
      </c>
      <c r="G27">
        <v>785.31781240423163</v>
      </c>
      <c r="H27" t="s">
        <v>363</v>
      </c>
      <c r="I27" t="s">
        <v>392</v>
      </c>
    </row>
    <row r="28" spans="1:9" x14ac:dyDescent="0.35">
      <c r="A28" t="s">
        <v>23</v>
      </c>
      <c r="B28" t="s">
        <v>295</v>
      </c>
      <c r="C28" t="s">
        <v>296</v>
      </c>
      <c r="D28">
        <v>1</v>
      </c>
      <c r="E28">
        <v>4</v>
      </c>
      <c r="F28">
        <v>-1447270.804393566</v>
      </c>
      <c r="G28">
        <v>1447270.804393566</v>
      </c>
      <c r="H28" t="s">
        <v>363</v>
      </c>
      <c r="I28" t="s">
        <v>392</v>
      </c>
    </row>
    <row r="29" spans="1:9" x14ac:dyDescent="0.35">
      <c r="A29" t="s">
        <v>23</v>
      </c>
      <c r="B29" t="s">
        <v>299</v>
      </c>
      <c r="C29" t="s">
        <v>300</v>
      </c>
      <c r="D29">
        <v>12</v>
      </c>
      <c r="E29">
        <v>34</v>
      </c>
      <c r="F29">
        <v>2231172.796177038</v>
      </c>
      <c r="G29">
        <v>1927289.9072006231</v>
      </c>
      <c r="H29" t="s">
        <v>363</v>
      </c>
      <c r="I29" t="s">
        <v>392</v>
      </c>
    </row>
    <row r="30" spans="1:9" x14ac:dyDescent="0.35">
      <c r="A30" t="s">
        <v>23</v>
      </c>
      <c r="B30" t="s">
        <v>299</v>
      </c>
      <c r="C30" t="s">
        <v>317</v>
      </c>
      <c r="D30">
        <v>7</v>
      </c>
      <c r="E30">
        <v>211</v>
      </c>
      <c r="F30">
        <v>-19257494.926659688</v>
      </c>
      <c r="G30">
        <v>19123547.053782571</v>
      </c>
      <c r="H30" t="s">
        <v>363</v>
      </c>
      <c r="I30" t="s">
        <v>392</v>
      </c>
    </row>
    <row r="31" spans="1:9" x14ac:dyDescent="0.35">
      <c r="A31" t="s">
        <v>327</v>
      </c>
      <c r="B31" t="s">
        <v>272</v>
      </c>
      <c r="C31">
        <v>12</v>
      </c>
      <c r="D31">
        <v>3</v>
      </c>
      <c r="E31">
        <v>5</v>
      </c>
      <c r="F31">
        <v>-3159511.898233219</v>
      </c>
      <c r="G31">
        <v>3159511.898233219</v>
      </c>
      <c r="H31" t="s">
        <v>363</v>
      </c>
      <c r="I31" t="s">
        <v>392</v>
      </c>
    </row>
    <row r="32" spans="1:9" x14ac:dyDescent="0.35">
      <c r="A32" t="s">
        <v>327</v>
      </c>
      <c r="B32" t="s">
        <v>299</v>
      </c>
      <c r="C32" t="s">
        <v>317</v>
      </c>
      <c r="D32">
        <v>8</v>
      </c>
      <c r="E32">
        <v>12</v>
      </c>
      <c r="F32">
        <v>-360.09008873637362</v>
      </c>
      <c r="G32">
        <v>360.0900887363735</v>
      </c>
      <c r="H32" t="s">
        <v>363</v>
      </c>
      <c r="I32" t="s">
        <v>392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288"/>
  <sheetViews>
    <sheetView workbookViewId="0"/>
  </sheetViews>
  <sheetFormatPr defaultRowHeight="14.5" x14ac:dyDescent="0.35"/>
  <sheetData>
    <row r="1" spans="1:6" x14ac:dyDescent="0.35">
      <c r="A1" t="s">
        <v>365</v>
      </c>
    </row>
    <row r="2" spans="1:6" x14ac:dyDescent="0.35">
      <c r="B2" t="s">
        <v>25</v>
      </c>
      <c r="C2" t="s">
        <v>27</v>
      </c>
      <c r="D2" t="s">
        <v>28</v>
      </c>
      <c r="E2" t="s">
        <v>29</v>
      </c>
      <c r="F2" t="s">
        <v>30</v>
      </c>
    </row>
    <row r="3" spans="1:6" x14ac:dyDescent="0.35">
      <c r="A3" t="s">
        <v>25</v>
      </c>
      <c r="B3">
        <v>1</v>
      </c>
      <c r="C3">
        <v>1</v>
      </c>
      <c r="D3">
        <v>1</v>
      </c>
      <c r="E3">
        <v>1</v>
      </c>
      <c r="F3">
        <v>1</v>
      </c>
    </row>
    <row r="4" spans="1:6" x14ac:dyDescent="0.35">
      <c r="A4" t="s">
        <v>27</v>
      </c>
      <c r="B4">
        <v>1</v>
      </c>
      <c r="C4">
        <v>1</v>
      </c>
      <c r="D4">
        <v>1</v>
      </c>
      <c r="E4">
        <v>1</v>
      </c>
      <c r="F4">
        <v>1</v>
      </c>
    </row>
    <row r="5" spans="1:6" x14ac:dyDescent="0.35">
      <c r="A5" t="s">
        <v>28</v>
      </c>
      <c r="B5">
        <v>1</v>
      </c>
      <c r="C5">
        <v>1</v>
      </c>
      <c r="D5">
        <v>1</v>
      </c>
      <c r="E5">
        <v>1</v>
      </c>
      <c r="F5">
        <v>1</v>
      </c>
    </row>
    <row r="6" spans="1:6" x14ac:dyDescent="0.35">
      <c r="A6" t="s">
        <v>29</v>
      </c>
      <c r="B6">
        <v>1</v>
      </c>
      <c r="C6">
        <v>1</v>
      </c>
      <c r="D6">
        <v>1</v>
      </c>
      <c r="E6">
        <v>1</v>
      </c>
      <c r="F6">
        <v>1</v>
      </c>
    </row>
    <row r="7" spans="1:6" x14ac:dyDescent="0.35">
      <c r="A7" t="s">
        <v>30</v>
      </c>
      <c r="B7">
        <v>1</v>
      </c>
      <c r="C7">
        <v>1</v>
      </c>
      <c r="D7">
        <v>1</v>
      </c>
      <c r="E7">
        <v>1</v>
      </c>
      <c r="F7">
        <v>1</v>
      </c>
    </row>
    <row r="10" spans="1:6" x14ac:dyDescent="0.35">
      <c r="A10" t="s">
        <v>366</v>
      </c>
    </row>
    <row r="11" spans="1:6" x14ac:dyDescent="0.35">
      <c r="B11" t="s">
        <v>31</v>
      </c>
      <c r="C11" t="s">
        <v>32</v>
      </c>
      <c r="D11" t="s">
        <v>33</v>
      </c>
      <c r="E11" t="s">
        <v>34</v>
      </c>
      <c r="F11" t="s">
        <v>35</v>
      </c>
    </row>
    <row r="12" spans="1:6" x14ac:dyDescent="0.35">
      <c r="A12" t="s">
        <v>31</v>
      </c>
      <c r="B12">
        <v>1</v>
      </c>
      <c r="C12">
        <v>0.75</v>
      </c>
      <c r="D12">
        <v>0.75</v>
      </c>
      <c r="E12">
        <v>0.75</v>
      </c>
      <c r="F12">
        <v>0.75</v>
      </c>
    </row>
    <row r="13" spans="1:6" x14ac:dyDescent="0.35">
      <c r="A13" t="s">
        <v>32</v>
      </c>
      <c r="B13">
        <v>0.75</v>
      </c>
      <c r="C13">
        <v>1</v>
      </c>
      <c r="D13">
        <v>0.75</v>
      </c>
      <c r="E13">
        <v>0.75</v>
      </c>
      <c r="F13">
        <v>0.75</v>
      </c>
    </row>
    <row r="14" spans="1:6" x14ac:dyDescent="0.35">
      <c r="A14" t="s">
        <v>33</v>
      </c>
      <c r="B14">
        <v>0.75</v>
      </c>
      <c r="C14">
        <v>0.75</v>
      </c>
      <c r="D14">
        <v>1</v>
      </c>
      <c r="E14">
        <v>0.75</v>
      </c>
      <c r="F14">
        <v>0.75</v>
      </c>
    </row>
    <row r="15" spans="1:6" x14ac:dyDescent="0.35">
      <c r="A15" t="s">
        <v>34</v>
      </c>
      <c r="B15">
        <v>0.75</v>
      </c>
      <c r="C15">
        <v>0.75</v>
      </c>
      <c r="D15">
        <v>0.75</v>
      </c>
      <c r="E15">
        <v>1</v>
      </c>
      <c r="F15">
        <v>0.75</v>
      </c>
    </row>
    <row r="16" spans="1:6" x14ac:dyDescent="0.35">
      <c r="A16" t="s">
        <v>35</v>
      </c>
      <c r="B16">
        <v>0.75</v>
      </c>
      <c r="C16">
        <v>0.75</v>
      </c>
      <c r="D16">
        <v>0.75</v>
      </c>
      <c r="E16">
        <v>0.75</v>
      </c>
      <c r="F16">
        <v>1</v>
      </c>
    </row>
    <row r="19" spans="1:7" x14ac:dyDescent="0.35">
      <c r="A19" t="s">
        <v>367</v>
      </c>
    </row>
    <row r="20" spans="1:7" x14ac:dyDescent="0.35">
      <c r="B20" t="s">
        <v>37</v>
      </c>
      <c r="C20" t="s">
        <v>38</v>
      </c>
    </row>
    <row r="21" spans="1:7" x14ac:dyDescent="0.35">
      <c r="A21" t="s">
        <v>37</v>
      </c>
      <c r="B21">
        <v>1</v>
      </c>
      <c r="C21">
        <v>0.6875</v>
      </c>
    </row>
    <row r="22" spans="1:7" x14ac:dyDescent="0.35">
      <c r="A22" t="s">
        <v>38</v>
      </c>
      <c r="B22">
        <v>0.6875</v>
      </c>
      <c r="C22">
        <v>1</v>
      </c>
    </row>
    <row r="25" spans="1:7" x14ac:dyDescent="0.35">
      <c r="A25" t="s">
        <v>368</v>
      </c>
    </row>
    <row r="26" spans="1:7" x14ac:dyDescent="0.35"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</row>
    <row r="27" spans="1:7" x14ac:dyDescent="0.35">
      <c r="A27" t="s">
        <v>39</v>
      </c>
      <c r="B27">
        <v>1</v>
      </c>
      <c r="C27">
        <v>0.5625</v>
      </c>
      <c r="D27">
        <v>0.5625</v>
      </c>
      <c r="E27">
        <v>0.5625</v>
      </c>
      <c r="F27">
        <v>0.5625</v>
      </c>
      <c r="G27">
        <v>0.5625</v>
      </c>
    </row>
    <row r="28" spans="1:7" x14ac:dyDescent="0.35">
      <c r="A28" t="s">
        <v>40</v>
      </c>
      <c r="B28">
        <v>0.5625</v>
      </c>
      <c r="C28">
        <v>1</v>
      </c>
      <c r="D28">
        <v>0.5625</v>
      </c>
      <c r="E28">
        <v>0.5625</v>
      </c>
      <c r="F28">
        <v>0.5625</v>
      </c>
      <c r="G28">
        <v>0.5625</v>
      </c>
    </row>
    <row r="29" spans="1:7" x14ac:dyDescent="0.35">
      <c r="A29" t="s">
        <v>41</v>
      </c>
      <c r="B29">
        <v>0.5625</v>
      </c>
      <c r="C29">
        <v>0.5625</v>
      </c>
      <c r="D29">
        <v>1</v>
      </c>
      <c r="E29">
        <v>0.5625</v>
      </c>
      <c r="F29">
        <v>0.5625</v>
      </c>
      <c r="G29">
        <v>0.5625</v>
      </c>
    </row>
    <row r="30" spans="1:7" x14ac:dyDescent="0.35">
      <c r="A30" t="s">
        <v>42</v>
      </c>
      <c r="B30">
        <v>0.5625</v>
      </c>
      <c r="C30">
        <v>0.5625</v>
      </c>
      <c r="D30">
        <v>0.5625</v>
      </c>
      <c r="E30">
        <v>1</v>
      </c>
      <c r="F30">
        <v>0.5625</v>
      </c>
      <c r="G30">
        <v>0.5625</v>
      </c>
    </row>
    <row r="31" spans="1:7" x14ac:dyDescent="0.35">
      <c r="A31" t="s">
        <v>43</v>
      </c>
      <c r="B31">
        <v>0.5625</v>
      </c>
      <c r="C31">
        <v>0.5625</v>
      </c>
      <c r="D31">
        <v>0.5625</v>
      </c>
      <c r="E31">
        <v>0.5625</v>
      </c>
      <c r="F31">
        <v>1</v>
      </c>
      <c r="G31">
        <v>0.5625</v>
      </c>
    </row>
    <row r="32" spans="1:7" x14ac:dyDescent="0.35">
      <c r="A32" t="s">
        <v>44</v>
      </c>
      <c r="B32">
        <v>0.5625</v>
      </c>
      <c r="C32">
        <v>0.5625</v>
      </c>
      <c r="D32">
        <v>0.5625</v>
      </c>
      <c r="E32">
        <v>0.5625</v>
      </c>
      <c r="F32">
        <v>0.5625</v>
      </c>
      <c r="G32">
        <v>1</v>
      </c>
    </row>
    <row r="35" spans="1:5" x14ac:dyDescent="0.35">
      <c r="A35" t="s">
        <v>369</v>
      </c>
    </row>
    <row r="36" spans="1:5" x14ac:dyDescent="0.35">
      <c r="B36" t="s">
        <v>45</v>
      </c>
      <c r="C36" t="s">
        <v>46</v>
      </c>
    </row>
    <row r="37" spans="1:5" x14ac:dyDescent="0.35">
      <c r="A37" t="s">
        <v>45</v>
      </c>
      <c r="B37">
        <v>1</v>
      </c>
      <c r="C37">
        <v>0.1875</v>
      </c>
    </row>
    <row r="38" spans="1:5" x14ac:dyDescent="0.35">
      <c r="A38" t="s">
        <v>46</v>
      </c>
      <c r="B38">
        <v>0.1875</v>
      </c>
      <c r="C38">
        <v>1</v>
      </c>
    </row>
    <row r="41" spans="1:5" x14ac:dyDescent="0.35">
      <c r="A41" t="s">
        <v>370</v>
      </c>
    </row>
    <row r="42" spans="1:5" x14ac:dyDescent="0.35">
      <c r="B42" t="s">
        <v>47</v>
      </c>
      <c r="C42" t="s">
        <v>48</v>
      </c>
      <c r="D42" t="s">
        <v>49</v>
      </c>
      <c r="E42" t="s">
        <v>50</v>
      </c>
    </row>
    <row r="43" spans="1:5" x14ac:dyDescent="0.35">
      <c r="A43" t="s">
        <v>47</v>
      </c>
      <c r="B43">
        <v>1</v>
      </c>
      <c r="C43">
        <v>0.5</v>
      </c>
      <c r="D43">
        <v>0.5</v>
      </c>
      <c r="E43">
        <v>0.5</v>
      </c>
    </row>
    <row r="44" spans="1:5" x14ac:dyDescent="0.35">
      <c r="A44" t="s">
        <v>48</v>
      </c>
      <c r="B44">
        <v>0.5</v>
      </c>
      <c r="C44">
        <v>1</v>
      </c>
      <c r="D44">
        <v>0.5</v>
      </c>
      <c r="E44">
        <v>0.5</v>
      </c>
    </row>
    <row r="45" spans="1:5" x14ac:dyDescent="0.35">
      <c r="A45" t="s">
        <v>49</v>
      </c>
      <c r="B45">
        <v>0.5</v>
      </c>
      <c r="C45">
        <v>0.5</v>
      </c>
      <c r="D45">
        <v>1</v>
      </c>
      <c r="E45">
        <v>0.5</v>
      </c>
    </row>
    <row r="46" spans="1:5" x14ac:dyDescent="0.35">
      <c r="A46" t="s">
        <v>50</v>
      </c>
      <c r="B46">
        <v>0.5</v>
      </c>
      <c r="C46">
        <v>0.5</v>
      </c>
      <c r="D46">
        <v>0.5</v>
      </c>
      <c r="E46">
        <v>1</v>
      </c>
    </row>
    <row r="49" spans="1:19" x14ac:dyDescent="0.35">
      <c r="A49" t="s">
        <v>371</v>
      </c>
    </row>
    <row r="50" spans="1:19" x14ac:dyDescent="0.35">
      <c r="B50" t="s">
        <v>52</v>
      </c>
      <c r="C50" t="s">
        <v>55</v>
      </c>
      <c r="D50" t="s">
        <v>57</v>
      </c>
      <c r="E50" t="s">
        <v>59</v>
      </c>
      <c r="F50" t="s">
        <v>61</v>
      </c>
      <c r="G50" t="s">
        <v>62</v>
      </c>
    </row>
    <row r="51" spans="1:19" x14ac:dyDescent="0.35">
      <c r="A51" t="s">
        <v>52</v>
      </c>
      <c r="B51">
        <v>1</v>
      </c>
      <c r="C51">
        <v>0.4375</v>
      </c>
      <c r="D51">
        <v>0.4375</v>
      </c>
      <c r="E51">
        <v>0.28437499999999999</v>
      </c>
      <c r="F51">
        <v>0.28437499999999999</v>
      </c>
      <c r="G51">
        <v>0.28437499999999999</v>
      </c>
    </row>
    <row r="52" spans="1:19" x14ac:dyDescent="0.35">
      <c r="A52" t="s">
        <v>55</v>
      </c>
      <c r="B52">
        <v>0.4375</v>
      </c>
      <c r="C52">
        <v>1</v>
      </c>
      <c r="D52">
        <v>0.4375</v>
      </c>
      <c r="E52">
        <v>0.8125</v>
      </c>
      <c r="F52">
        <v>0.28437499999999999</v>
      </c>
      <c r="G52">
        <v>0.28437499999999999</v>
      </c>
    </row>
    <row r="53" spans="1:19" x14ac:dyDescent="0.35">
      <c r="A53" t="s">
        <v>57</v>
      </c>
      <c r="B53">
        <v>0.4375</v>
      </c>
      <c r="C53">
        <v>0.4375</v>
      </c>
      <c r="D53">
        <v>1</v>
      </c>
      <c r="E53">
        <v>0.28437499999999999</v>
      </c>
      <c r="F53">
        <v>0.8125</v>
      </c>
      <c r="G53">
        <v>0.8125</v>
      </c>
    </row>
    <row r="54" spans="1:19" x14ac:dyDescent="0.35">
      <c r="A54" t="s">
        <v>59</v>
      </c>
      <c r="B54">
        <v>0.28437499999999999</v>
      </c>
      <c r="C54">
        <v>0.8125</v>
      </c>
      <c r="D54">
        <v>0.28437499999999999</v>
      </c>
      <c r="E54">
        <v>1</v>
      </c>
      <c r="F54">
        <v>0.4375</v>
      </c>
      <c r="G54">
        <v>0.28437499999999999</v>
      </c>
    </row>
    <row r="55" spans="1:19" x14ac:dyDescent="0.35">
      <c r="A55" t="s">
        <v>61</v>
      </c>
      <c r="B55">
        <v>0.28437499999999999</v>
      </c>
      <c r="C55">
        <v>0.28437499999999999</v>
      </c>
      <c r="D55">
        <v>0.8125</v>
      </c>
      <c r="E55">
        <v>0.4375</v>
      </c>
      <c r="F55">
        <v>1</v>
      </c>
      <c r="G55">
        <v>0.8125</v>
      </c>
    </row>
    <row r="56" spans="1:19" x14ac:dyDescent="0.35">
      <c r="A56" t="s">
        <v>62</v>
      </c>
      <c r="B56">
        <v>0.28437499999999999</v>
      </c>
      <c r="C56">
        <v>0.28437499999999999</v>
      </c>
      <c r="D56">
        <v>0.8125</v>
      </c>
      <c r="E56">
        <v>0.28437499999999999</v>
      </c>
      <c r="F56">
        <v>0.8125</v>
      </c>
      <c r="G56">
        <v>1</v>
      </c>
    </row>
    <row r="59" spans="1:19" x14ac:dyDescent="0.35">
      <c r="A59" t="s">
        <v>372</v>
      </c>
    </row>
    <row r="60" spans="1:19" x14ac:dyDescent="0.35">
      <c r="B60" t="s">
        <v>64</v>
      </c>
      <c r="C60" t="s">
        <v>67</v>
      </c>
      <c r="D60" t="s">
        <v>69</v>
      </c>
      <c r="E60" t="s">
        <v>71</v>
      </c>
      <c r="F60" t="s">
        <v>73</v>
      </c>
      <c r="G60" t="s">
        <v>75</v>
      </c>
      <c r="H60" t="s">
        <v>77</v>
      </c>
      <c r="I60" t="s">
        <v>78</v>
      </c>
      <c r="J60" t="s">
        <v>79</v>
      </c>
      <c r="K60" t="s">
        <v>80</v>
      </c>
      <c r="L60" t="s">
        <v>81</v>
      </c>
      <c r="M60" t="s">
        <v>83</v>
      </c>
      <c r="N60" t="s">
        <v>84</v>
      </c>
      <c r="O60" t="s">
        <v>85</v>
      </c>
      <c r="P60" t="s">
        <v>86</v>
      </c>
      <c r="Q60" t="s">
        <v>87</v>
      </c>
      <c r="R60" t="s">
        <v>89</v>
      </c>
      <c r="S60" t="s">
        <v>90</v>
      </c>
    </row>
    <row r="61" spans="1:19" x14ac:dyDescent="0.35">
      <c r="A61" t="s">
        <v>64</v>
      </c>
      <c r="B61">
        <v>1</v>
      </c>
      <c r="C61">
        <v>0.4375</v>
      </c>
      <c r="D61">
        <v>0.4375</v>
      </c>
      <c r="E61">
        <v>0.4375</v>
      </c>
      <c r="F61">
        <v>0.4375</v>
      </c>
      <c r="G61">
        <v>0.8125</v>
      </c>
      <c r="H61">
        <v>0.28437499999999999</v>
      </c>
      <c r="I61">
        <v>0.28437499999999999</v>
      </c>
      <c r="J61">
        <v>0.28437499999999999</v>
      </c>
      <c r="K61">
        <v>0.28437499999999999</v>
      </c>
      <c r="L61">
        <v>0.8125</v>
      </c>
      <c r="M61">
        <v>0.28437499999999999</v>
      </c>
      <c r="N61">
        <v>0.28437499999999999</v>
      </c>
      <c r="O61">
        <v>0.28437499999999999</v>
      </c>
      <c r="P61">
        <v>0.28437499999999999</v>
      </c>
      <c r="Q61">
        <v>0.8125</v>
      </c>
      <c r="R61">
        <v>0.28437499999999999</v>
      </c>
      <c r="S61">
        <v>0.28437499999999999</v>
      </c>
    </row>
    <row r="62" spans="1:19" x14ac:dyDescent="0.35">
      <c r="A62" t="s">
        <v>67</v>
      </c>
      <c r="B62">
        <v>0.4375</v>
      </c>
      <c r="C62">
        <v>1</v>
      </c>
      <c r="D62">
        <v>0.4375</v>
      </c>
      <c r="E62">
        <v>0.4375</v>
      </c>
      <c r="F62">
        <v>0.4375</v>
      </c>
      <c r="G62">
        <v>0.28437499999999999</v>
      </c>
      <c r="H62">
        <v>0.8125</v>
      </c>
      <c r="I62">
        <v>0.28437499999999999</v>
      </c>
      <c r="J62">
        <v>0.28437499999999999</v>
      </c>
      <c r="K62">
        <v>0.28437499999999999</v>
      </c>
      <c r="L62">
        <v>0.28437499999999999</v>
      </c>
      <c r="M62">
        <v>0.8125</v>
      </c>
      <c r="N62">
        <v>0.28437499999999999</v>
      </c>
      <c r="O62">
        <v>0.28437499999999999</v>
      </c>
      <c r="P62">
        <v>0.28437499999999999</v>
      </c>
      <c r="Q62">
        <v>0.28437499999999999</v>
      </c>
      <c r="R62">
        <v>0.28437499999999999</v>
      </c>
      <c r="S62">
        <v>0.28437499999999999</v>
      </c>
    </row>
    <row r="63" spans="1:19" x14ac:dyDescent="0.35">
      <c r="A63" t="s">
        <v>69</v>
      </c>
      <c r="B63">
        <v>0.4375</v>
      </c>
      <c r="C63">
        <v>0.4375</v>
      </c>
      <c r="D63">
        <v>1</v>
      </c>
      <c r="E63">
        <v>0.4375</v>
      </c>
      <c r="F63">
        <v>0.4375</v>
      </c>
      <c r="G63">
        <v>0.28437499999999999</v>
      </c>
      <c r="H63">
        <v>0.28437499999999999</v>
      </c>
      <c r="I63">
        <v>0.8125</v>
      </c>
      <c r="J63">
        <v>0.28437499999999999</v>
      </c>
      <c r="K63">
        <v>0.28437499999999999</v>
      </c>
      <c r="L63">
        <v>0.28437499999999999</v>
      </c>
      <c r="M63">
        <v>0.28437499999999999</v>
      </c>
      <c r="N63">
        <v>0.8125</v>
      </c>
      <c r="O63">
        <v>0.28437499999999999</v>
      </c>
      <c r="P63">
        <v>0.28437499999999999</v>
      </c>
      <c r="Q63">
        <v>0.28437499999999999</v>
      </c>
      <c r="R63">
        <v>0.8125</v>
      </c>
      <c r="S63">
        <v>0.28437499999999999</v>
      </c>
    </row>
    <row r="64" spans="1:19" x14ac:dyDescent="0.35">
      <c r="A64" t="s">
        <v>71</v>
      </c>
      <c r="B64">
        <v>0.4375</v>
      </c>
      <c r="C64">
        <v>0.4375</v>
      </c>
      <c r="D64">
        <v>0.4375</v>
      </c>
      <c r="E64">
        <v>1</v>
      </c>
      <c r="F64">
        <v>0.4375</v>
      </c>
      <c r="G64">
        <v>0.28437499999999999</v>
      </c>
      <c r="H64">
        <v>0.28437499999999999</v>
      </c>
      <c r="I64">
        <v>0.28437499999999999</v>
      </c>
      <c r="J64">
        <v>0.8125</v>
      </c>
      <c r="K64">
        <v>0.28437499999999999</v>
      </c>
      <c r="L64">
        <v>0.28437499999999999</v>
      </c>
      <c r="M64">
        <v>0.28437499999999999</v>
      </c>
      <c r="N64">
        <v>0.28437499999999999</v>
      </c>
      <c r="O64">
        <v>0.8125</v>
      </c>
      <c r="P64">
        <v>0.28437499999999999</v>
      </c>
      <c r="Q64">
        <v>0.28437499999999999</v>
      </c>
      <c r="R64">
        <v>0.28437499999999999</v>
      </c>
      <c r="S64">
        <v>0.28437499999999999</v>
      </c>
    </row>
    <row r="65" spans="1:19" x14ac:dyDescent="0.35">
      <c r="A65" t="s">
        <v>73</v>
      </c>
      <c r="B65">
        <v>0.4375</v>
      </c>
      <c r="C65">
        <v>0.4375</v>
      </c>
      <c r="D65">
        <v>0.4375</v>
      </c>
      <c r="E65">
        <v>0.4375</v>
      </c>
      <c r="F65">
        <v>1</v>
      </c>
      <c r="G65">
        <v>0.28437499999999999</v>
      </c>
      <c r="H65">
        <v>0.28437499999999999</v>
      </c>
      <c r="I65">
        <v>0.28437499999999999</v>
      </c>
      <c r="J65">
        <v>0.28437499999999999</v>
      </c>
      <c r="K65">
        <v>0.8125</v>
      </c>
      <c r="L65">
        <v>0.28437499999999999</v>
      </c>
      <c r="M65">
        <v>0.28437499999999999</v>
      </c>
      <c r="N65">
        <v>0.28437499999999999</v>
      </c>
      <c r="O65">
        <v>0.28437499999999999</v>
      </c>
      <c r="P65">
        <v>0.8125</v>
      </c>
      <c r="Q65">
        <v>0.28437499999999999</v>
      </c>
      <c r="R65">
        <v>0.28437499999999999</v>
      </c>
      <c r="S65">
        <v>0.8125</v>
      </c>
    </row>
    <row r="66" spans="1:19" x14ac:dyDescent="0.35">
      <c r="A66" t="s">
        <v>75</v>
      </c>
      <c r="B66">
        <v>0.8125</v>
      </c>
      <c r="C66">
        <v>0.28437499999999999</v>
      </c>
      <c r="D66">
        <v>0.28437499999999999</v>
      </c>
      <c r="E66">
        <v>0.28437499999999999</v>
      </c>
      <c r="F66">
        <v>0.28437499999999999</v>
      </c>
      <c r="G66">
        <v>1</v>
      </c>
      <c r="H66">
        <v>0.4375</v>
      </c>
      <c r="I66">
        <v>0.4375</v>
      </c>
      <c r="J66">
        <v>0.4375</v>
      </c>
      <c r="K66">
        <v>0.4375</v>
      </c>
      <c r="L66">
        <v>0.8125</v>
      </c>
      <c r="M66">
        <v>0.28437499999999999</v>
      </c>
      <c r="N66">
        <v>0.28437499999999999</v>
      </c>
      <c r="O66">
        <v>0.28437499999999999</v>
      </c>
      <c r="P66">
        <v>0.28437499999999999</v>
      </c>
      <c r="Q66">
        <v>0.8125</v>
      </c>
      <c r="R66">
        <v>0.28437499999999999</v>
      </c>
      <c r="S66">
        <v>0.28437499999999999</v>
      </c>
    </row>
    <row r="67" spans="1:19" x14ac:dyDescent="0.35">
      <c r="A67" t="s">
        <v>77</v>
      </c>
      <c r="B67">
        <v>0.28437499999999999</v>
      </c>
      <c r="C67">
        <v>0.8125</v>
      </c>
      <c r="D67">
        <v>0.28437499999999999</v>
      </c>
      <c r="E67">
        <v>0.28437499999999999</v>
      </c>
      <c r="F67">
        <v>0.28437499999999999</v>
      </c>
      <c r="G67">
        <v>0.4375</v>
      </c>
      <c r="H67">
        <v>1</v>
      </c>
      <c r="I67">
        <v>0.4375</v>
      </c>
      <c r="J67">
        <v>0.4375</v>
      </c>
      <c r="K67">
        <v>0.4375</v>
      </c>
      <c r="L67">
        <v>0.28437499999999999</v>
      </c>
      <c r="M67">
        <v>0.8125</v>
      </c>
      <c r="N67">
        <v>0.28437499999999999</v>
      </c>
      <c r="O67">
        <v>0.28437499999999999</v>
      </c>
      <c r="P67">
        <v>0.28437499999999999</v>
      </c>
      <c r="Q67">
        <v>0.28437499999999999</v>
      </c>
      <c r="R67">
        <v>0.28437499999999999</v>
      </c>
      <c r="S67">
        <v>0.28437499999999999</v>
      </c>
    </row>
    <row r="68" spans="1:19" x14ac:dyDescent="0.35">
      <c r="A68" t="s">
        <v>78</v>
      </c>
      <c r="B68">
        <v>0.28437499999999999</v>
      </c>
      <c r="C68">
        <v>0.28437499999999999</v>
      </c>
      <c r="D68">
        <v>0.8125</v>
      </c>
      <c r="E68">
        <v>0.28437499999999999</v>
      </c>
      <c r="F68">
        <v>0.28437499999999999</v>
      </c>
      <c r="G68">
        <v>0.4375</v>
      </c>
      <c r="H68">
        <v>0.4375</v>
      </c>
      <c r="I68">
        <v>1</v>
      </c>
      <c r="J68">
        <v>0.4375</v>
      </c>
      <c r="K68">
        <v>0.4375</v>
      </c>
      <c r="L68">
        <v>0.28437499999999999</v>
      </c>
      <c r="M68">
        <v>0.28437499999999999</v>
      </c>
      <c r="N68">
        <v>0.8125</v>
      </c>
      <c r="O68">
        <v>0.28437499999999999</v>
      </c>
      <c r="P68">
        <v>0.28437499999999999</v>
      </c>
      <c r="Q68">
        <v>0.28437499999999999</v>
      </c>
      <c r="R68">
        <v>0.8125</v>
      </c>
      <c r="S68">
        <v>0.28437499999999999</v>
      </c>
    </row>
    <row r="69" spans="1:19" x14ac:dyDescent="0.35">
      <c r="A69" t="s">
        <v>79</v>
      </c>
      <c r="B69">
        <v>0.28437499999999999</v>
      </c>
      <c r="C69">
        <v>0.28437499999999999</v>
      </c>
      <c r="D69">
        <v>0.28437499999999999</v>
      </c>
      <c r="E69">
        <v>0.8125</v>
      </c>
      <c r="F69">
        <v>0.28437499999999999</v>
      </c>
      <c r="G69">
        <v>0.4375</v>
      </c>
      <c r="H69">
        <v>0.4375</v>
      </c>
      <c r="I69">
        <v>0.4375</v>
      </c>
      <c r="J69">
        <v>1</v>
      </c>
      <c r="K69">
        <v>0.4375</v>
      </c>
      <c r="L69">
        <v>0.28437499999999999</v>
      </c>
      <c r="M69">
        <v>0.28437499999999999</v>
      </c>
      <c r="N69">
        <v>0.28437499999999999</v>
      </c>
      <c r="O69">
        <v>0.8125</v>
      </c>
      <c r="P69">
        <v>0.28437499999999999</v>
      </c>
      <c r="Q69">
        <v>0.28437499999999999</v>
      </c>
      <c r="R69">
        <v>0.28437499999999999</v>
      </c>
      <c r="S69">
        <v>0.28437499999999999</v>
      </c>
    </row>
    <row r="70" spans="1:19" x14ac:dyDescent="0.35">
      <c r="A70" t="s">
        <v>80</v>
      </c>
      <c r="B70">
        <v>0.28437499999999999</v>
      </c>
      <c r="C70">
        <v>0.28437499999999999</v>
      </c>
      <c r="D70">
        <v>0.28437499999999999</v>
      </c>
      <c r="E70">
        <v>0.28437499999999999</v>
      </c>
      <c r="F70">
        <v>0.8125</v>
      </c>
      <c r="G70">
        <v>0.4375</v>
      </c>
      <c r="H70">
        <v>0.4375</v>
      </c>
      <c r="I70">
        <v>0.4375</v>
      </c>
      <c r="J70">
        <v>0.4375</v>
      </c>
      <c r="K70">
        <v>1</v>
      </c>
      <c r="L70">
        <v>0.28437499999999999</v>
      </c>
      <c r="M70">
        <v>0.28437499999999999</v>
      </c>
      <c r="N70">
        <v>0.28437499999999999</v>
      </c>
      <c r="O70">
        <v>0.28437499999999999</v>
      </c>
      <c r="P70">
        <v>0.8125</v>
      </c>
      <c r="Q70">
        <v>0.28437499999999999</v>
      </c>
      <c r="R70">
        <v>0.28437499999999999</v>
      </c>
      <c r="S70">
        <v>0.8125</v>
      </c>
    </row>
    <row r="71" spans="1:19" x14ac:dyDescent="0.35">
      <c r="A71" t="s">
        <v>81</v>
      </c>
      <c r="B71">
        <v>0.8125</v>
      </c>
      <c r="C71">
        <v>0.28437499999999999</v>
      </c>
      <c r="D71">
        <v>0.28437499999999999</v>
      </c>
      <c r="E71">
        <v>0.28437499999999999</v>
      </c>
      <c r="F71">
        <v>0.28437499999999999</v>
      </c>
      <c r="G71">
        <v>0.8125</v>
      </c>
      <c r="H71">
        <v>0.28437499999999999</v>
      </c>
      <c r="I71">
        <v>0.28437499999999999</v>
      </c>
      <c r="J71">
        <v>0.28437499999999999</v>
      </c>
      <c r="K71">
        <v>0.28437499999999999</v>
      </c>
      <c r="L71">
        <v>1</v>
      </c>
      <c r="M71">
        <v>0.4375</v>
      </c>
      <c r="N71">
        <v>0.4375</v>
      </c>
      <c r="O71">
        <v>0.4375</v>
      </c>
      <c r="P71">
        <v>0.4375</v>
      </c>
      <c r="Q71">
        <v>0.8125</v>
      </c>
      <c r="R71">
        <v>0.28437499999999999</v>
      </c>
      <c r="S71">
        <v>0.28437499999999999</v>
      </c>
    </row>
    <row r="72" spans="1:19" x14ac:dyDescent="0.35">
      <c r="A72" t="s">
        <v>83</v>
      </c>
      <c r="B72">
        <v>0.28437499999999999</v>
      </c>
      <c r="C72">
        <v>0.8125</v>
      </c>
      <c r="D72">
        <v>0.28437499999999999</v>
      </c>
      <c r="E72">
        <v>0.28437499999999999</v>
      </c>
      <c r="F72">
        <v>0.28437499999999999</v>
      </c>
      <c r="G72">
        <v>0.28437499999999999</v>
      </c>
      <c r="H72">
        <v>0.8125</v>
      </c>
      <c r="I72">
        <v>0.28437499999999999</v>
      </c>
      <c r="J72">
        <v>0.28437499999999999</v>
      </c>
      <c r="K72">
        <v>0.28437499999999999</v>
      </c>
      <c r="L72">
        <v>0.4375</v>
      </c>
      <c r="M72">
        <v>1</v>
      </c>
      <c r="N72">
        <v>0.4375</v>
      </c>
      <c r="O72">
        <v>0.4375</v>
      </c>
      <c r="P72">
        <v>0.4375</v>
      </c>
      <c r="Q72">
        <v>0.28437499999999999</v>
      </c>
      <c r="R72">
        <v>0.28437499999999999</v>
      </c>
      <c r="S72">
        <v>0.28437499999999999</v>
      </c>
    </row>
    <row r="73" spans="1:19" x14ac:dyDescent="0.35">
      <c r="A73" t="s">
        <v>84</v>
      </c>
      <c r="B73">
        <v>0.28437499999999999</v>
      </c>
      <c r="C73">
        <v>0.28437499999999999</v>
      </c>
      <c r="D73">
        <v>0.8125</v>
      </c>
      <c r="E73">
        <v>0.28437499999999999</v>
      </c>
      <c r="F73">
        <v>0.28437499999999999</v>
      </c>
      <c r="G73">
        <v>0.28437499999999999</v>
      </c>
      <c r="H73">
        <v>0.28437499999999999</v>
      </c>
      <c r="I73">
        <v>0.8125</v>
      </c>
      <c r="J73">
        <v>0.28437499999999999</v>
      </c>
      <c r="K73">
        <v>0.28437499999999999</v>
      </c>
      <c r="L73">
        <v>0.4375</v>
      </c>
      <c r="M73">
        <v>0.4375</v>
      </c>
      <c r="N73">
        <v>1</v>
      </c>
      <c r="O73">
        <v>0.4375</v>
      </c>
      <c r="P73">
        <v>0.4375</v>
      </c>
      <c r="Q73">
        <v>0.28437499999999999</v>
      </c>
      <c r="R73">
        <v>0.8125</v>
      </c>
      <c r="S73">
        <v>0.28437499999999999</v>
      </c>
    </row>
    <row r="74" spans="1:19" x14ac:dyDescent="0.35">
      <c r="A74" t="s">
        <v>85</v>
      </c>
      <c r="B74">
        <v>0.28437499999999999</v>
      </c>
      <c r="C74">
        <v>0.28437499999999999</v>
      </c>
      <c r="D74">
        <v>0.28437499999999999</v>
      </c>
      <c r="E74">
        <v>0.8125</v>
      </c>
      <c r="F74">
        <v>0.28437499999999999</v>
      </c>
      <c r="G74">
        <v>0.28437499999999999</v>
      </c>
      <c r="H74">
        <v>0.28437499999999999</v>
      </c>
      <c r="I74">
        <v>0.28437499999999999</v>
      </c>
      <c r="J74">
        <v>0.8125</v>
      </c>
      <c r="K74">
        <v>0.28437499999999999</v>
      </c>
      <c r="L74">
        <v>0.4375</v>
      </c>
      <c r="M74">
        <v>0.4375</v>
      </c>
      <c r="N74">
        <v>0.4375</v>
      </c>
      <c r="O74">
        <v>1</v>
      </c>
      <c r="P74">
        <v>0.4375</v>
      </c>
      <c r="Q74">
        <v>0.28437499999999999</v>
      </c>
      <c r="R74">
        <v>0.28437499999999999</v>
      </c>
      <c r="S74">
        <v>0.28437499999999999</v>
      </c>
    </row>
    <row r="75" spans="1:19" x14ac:dyDescent="0.35">
      <c r="A75" t="s">
        <v>86</v>
      </c>
      <c r="B75">
        <v>0.28437499999999999</v>
      </c>
      <c r="C75">
        <v>0.28437499999999999</v>
      </c>
      <c r="D75">
        <v>0.28437499999999999</v>
      </c>
      <c r="E75">
        <v>0.28437499999999999</v>
      </c>
      <c r="F75">
        <v>0.8125</v>
      </c>
      <c r="G75">
        <v>0.28437499999999999</v>
      </c>
      <c r="H75">
        <v>0.28437499999999999</v>
      </c>
      <c r="I75">
        <v>0.28437499999999999</v>
      </c>
      <c r="J75">
        <v>0.28437499999999999</v>
      </c>
      <c r="K75">
        <v>0.8125</v>
      </c>
      <c r="L75">
        <v>0.4375</v>
      </c>
      <c r="M75">
        <v>0.4375</v>
      </c>
      <c r="N75">
        <v>0.4375</v>
      </c>
      <c r="O75">
        <v>0.4375</v>
      </c>
      <c r="P75">
        <v>1</v>
      </c>
      <c r="Q75">
        <v>0.28437499999999999</v>
      </c>
      <c r="R75">
        <v>0.28437499999999999</v>
      </c>
      <c r="S75">
        <v>0.8125</v>
      </c>
    </row>
    <row r="76" spans="1:19" x14ac:dyDescent="0.35">
      <c r="A76" t="s">
        <v>87</v>
      </c>
      <c r="B76">
        <v>0.8125</v>
      </c>
      <c r="C76">
        <v>0.28437499999999999</v>
      </c>
      <c r="D76">
        <v>0.28437499999999999</v>
      </c>
      <c r="E76">
        <v>0.28437499999999999</v>
      </c>
      <c r="F76">
        <v>0.28437499999999999</v>
      </c>
      <c r="G76">
        <v>0.8125</v>
      </c>
      <c r="H76">
        <v>0.28437499999999999</v>
      </c>
      <c r="I76">
        <v>0.28437499999999999</v>
      </c>
      <c r="J76">
        <v>0.28437499999999999</v>
      </c>
      <c r="K76">
        <v>0.28437499999999999</v>
      </c>
      <c r="L76">
        <v>0.8125</v>
      </c>
      <c r="M76">
        <v>0.28437499999999999</v>
      </c>
      <c r="N76">
        <v>0.28437499999999999</v>
      </c>
      <c r="O76">
        <v>0.28437499999999999</v>
      </c>
      <c r="P76">
        <v>0.28437499999999999</v>
      </c>
      <c r="Q76">
        <v>1</v>
      </c>
      <c r="R76">
        <v>0.4375</v>
      </c>
      <c r="S76">
        <v>0.4375</v>
      </c>
    </row>
    <row r="77" spans="1:19" x14ac:dyDescent="0.35">
      <c r="A77" t="s">
        <v>89</v>
      </c>
      <c r="B77">
        <v>0.28437499999999999</v>
      </c>
      <c r="C77">
        <v>0.28437499999999999</v>
      </c>
      <c r="D77">
        <v>0.8125</v>
      </c>
      <c r="E77">
        <v>0.28437499999999999</v>
      </c>
      <c r="F77">
        <v>0.28437499999999999</v>
      </c>
      <c r="G77">
        <v>0.28437499999999999</v>
      </c>
      <c r="H77">
        <v>0.28437499999999999</v>
      </c>
      <c r="I77">
        <v>0.8125</v>
      </c>
      <c r="J77">
        <v>0.28437499999999999</v>
      </c>
      <c r="K77">
        <v>0.28437499999999999</v>
      </c>
      <c r="L77">
        <v>0.28437499999999999</v>
      </c>
      <c r="M77">
        <v>0.28437499999999999</v>
      </c>
      <c r="N77">
        <v>0.8125</v>
      </c>
      <c r="O77">
        <v>0.28437499999999999</v>
      </c>
      <c r="P77">
        <v>0.28437499999999999</v>
      </c>
      <c r="Q77">
        <v>0.4375</v>
      </c>
      <c r="R77">
        <v>1</v>
      </c>
      <c r="S77">
        <v>0.4375</v>
      </c>
    </row>
    <row r="78" spans="1:19" x14ac:dyDescent="0.35">
      <c r="A78" t="s">
        <v>90</v>
      </c>
      <c r="B78">
        <v>0.28437499999999999</v>
      </c>
      <c r="C78">
        <v>0.28437499999999999</v>
      </c>
      <c r="D78">
        <v>0.28437499999999999</v>
      </c>
      <c r="E78">
        <v>0.28437499999999999</v>
      </c>
      <c r="F78">
        <v>0.8125</v>
      </c>
      <c r="G78">
        <v>0.28437499999999999</v>
      </c>
      <c r="H78">
        <v>0.28437499999999999</v>
      </c>
      <c r="I78">
        <v>0.28437499999999999</v>
      </c>
      <c r="J78">
        <v>0.28437499999999999</v>
      </c>
      <c r="K78">
        <v>0.8125</v>
      </c>
      <c r="L78">
        <v>0.28437499999999999</v>
      </c>
      <c r="M78">
        <v>0.28437499999999999</v>
      </c>
      <c r="N78">
        <v>0.28437499999999999</v>
      </c>
      <c r="O78">
        <v>0.28437499999999999</v>
      </c>
      <c r="P78">
        <v>0.8125</v>
      </c>
      <c r="Q78">
        <v>0.4375</v>
      </c>
      <c r="R78">
        <v>0.4375</v>
      </c>
      <c r="S78">
        <v>1</v>
      </c>
    </row>
    <row r="81" spans="1:13" x14ac:dyDescent="0.35">
      <c r="A81" t="s">
        <v>373</v>
      </c>
    </row>
    <row r="82" spans="1:13" x14ac:dyDescent="0.35">
      <c r="B82" t="s">
        <v>91</v>
      </c>
      <c r="C82" t="s">
        <v>94</v>
      </c>
      <c r="D82" t="s">
        <v>96</v>
      </c>
      <c r="E82" t="s">
        <v>98</v>
      </c>
      <c r="F82" t="s">
        <v>100</v>
      </c>
      <c r="G82" t="s">
        <v>101</v>
      </c>
      <c r="H82" t="s">
        <v>102</v>
      </c>
      <c r="I82" t="s">
        <v>104</v>
      </c>
      <c r="J82" t="s">
        <v>105</v>
      </c>
      <c r="K82" t="s">
        <v>106</v>
      </c>
      <c r="L82" t="s">
        <v>108</v>
      </c>
      <c r="M82" t="s">
        <v>109</v>
      </c>
    </row>
    <row r="83" spans="1:13" x14ac:dyDescent="0.35">
      <c r="A83" t="s">
        <v>91</v>
      </c>
      <c r="B83">
        <v>1</v>
      </c>
      <c r="C83">
        <v>0.4375</v>
      </c>
      <c r="D83">
        <v>0.4375</v>
      </c>
      <c r="E83">
        <v>0.8125</v>
      </c>
      <c r="F83">
        <v>0.28437499999999999</v>
      </c>
      <c r="G83">
        <v>0.28437499999999999</v>
      </c>
      <c r="H83">
        <v>0.8125</v>
      </c>
      <c r="I83">
        <v>0.28437499999999999</v>
      </c>
      <c r="J83">
        <v>0.28437499999999999</v>
      </c>
      <c r="K83">
        <v>0.28437499999999999</v>
      </c>
      <c r="L83">
        <v>0.28437499999999999</v>
      </c>
      <c r="M83">
        <v>0.28437499999999999</v>
      </c>
    </row>
    <row r="84" spans="1:13" x14ac:dyDescent="0.35">
      <c r="A84" t="s">
        <v>94</v>
      </c>
      <c r="B84">
        <v>0.4375</v>
      </c>
      <c r="C84">
        <v>1</v>
      </c>
      <c r="D84">
        <v>0.4375</v>
      </c>
      <c r="E84">
        <v>0.28437499999999999</v>
      </c>
      <c r="F84">
        <v>0.8125</v>
      </c>
      <c r="G84">
        <v>0.28437499999999999</v>
      </c>
      <c r="H84">
        <v>0.28437499999999999</v>
      </c>
      <c r="I84">
        <v>0.8125</v>
      </c>
      <c r="J84">
        <v>0.28437499999999999</v>
      </c>
      <c r="K84">
        <v>0.8125</v>
      </c>
      <c r="L84">
        <v>0.28437499999999999</v>
      </c>
      <c r="M84">
        <v>0.8125</v>
      </c>
    </row>
    <row r="85" spans="1:13" x14ac:dyDescent="0.35">
      <c r="A85" t="s">
        <v>96</v>
      </c>
      <c r="B85">
        <v>0.4375</v>
      </c>
      <c r="C85">
        <v>0.4375</v>
      </c>
      <c r="D85">
        <v>1</v>
      </c>
      <c r="E85">
        <v>0.28437499999999999</v>
      </c>
      <c r="F85">
        <v>0.28437499999999999</v>
      </c>
      <c r="G85">
        <v>0.8125</v>
      </c>
      <c r="H85">
        <v>0.28437499999999999</v>
      </c>
      <c r="I85">
        <v>0.28437499999999999</v>
      </c>
      <c r="J85">
        <v>0.8125</v>
      </c>
      <c r="K85">
        <v>0.28437499999999999</v>
      </c>
      <c r="L85">
        <v>0.8125</v>
      </c>
      <c r="M85">
        <v>0.28437499999999999</v>
      </c>
    </row>
    <row r="86" spans="1:13" x14ac:dyDescent="0.35">
      <c r="A86" t="s">
        <v>98</v>
      </c>
      <c r="B86">
        <v>0.8125</v>
      </c>
      <c r="C86">
        <v>0.28437499999999999</v>
      </c>
      <c r="D86">
        <v>0.28437499999999999</v>
      </c>
      <c r="E86">
        <v>1</v>
      </c>
      <c r="F86">
        <v>0.4375</v>
      </c>
      <c r="G86">
        <v>0.4375</v>
      </c>
      <c r="H86">
        <v>0.8125</v>
      </c>
      <c r="I86">
        <v>0.28437499999999999</v>
      </c>
      <c r="J86">
        <v>0.28437499999999999</v>
      </c>
      <c r="K86">
        <v>0.28437499999999999</v>
      </c>
      <c r="L86">
        <v>0.28437499999999999</v>
      </c>
      <c r="M86">
        <v>0.28437499999999999</v>
      </c>
    </row>
    <row r="87" spans="1:13" x14ac:dyDescent="0.35">
      <c r="A87" t="s">
        <v>100</v>
      </c>
      <c r="B87">
        <v>0.28437499999999999</v>
      </c>
      <c r="C87">
        <v>0.8125</v>
      </c>
      <c r="D87">
        <v>0.28437499999999999</v>
      </c>
      <c r="E87">
        <v>0.4375</v>
      </c>
      <c r="F87">
        <v>1</v>
      </c>
      <c r="G87">
        <v>0.4375</v>
      </c>
      <c r="H87">
        <v>0.28437499999999999</v>
      </c>
      <c r="I87">
        <v>0.8125</v>
      </c>
      <c r="J87">
        <v>0.28437499999999999</v>
      </c>
      <c r="K87">
        <v>0.8125</v>
      </c>
      <c r="L87">
        <v>0.28437499999999999</v>
      </c>
      <c r="M87">
        <v>0.8125</v>
      </c>
    </row>
    <row r="88" spans="1:13" x14ac:dyDescent="0.35">
      <c r="A88" t="s">
        <v>101</v>
      </c>
      <c r="B88">
        <v>0.28437499999999999</v>
      </c>
      <c r="C88">
        <v>0.28437499999999999</v>
      </c>
      <c r="D88">
        <v>0.8125</v>
      </c>
      <c r="E88">
        <v>0.4375</v>
      </c>
      <c r="F88">
        <v>0.4375</v>
      </c>
      <c r="G88">
        <v>1</v>
      </c>
      <c r="H88">
        <v>0.28437499999999999</v>
      </c>
      <c r="I88">
        <v>0.28437499999999999</v>
      </c>
      <c r="J88">
        <v>0.8125</v>
      </c>
      <c r="K88">
        <v>0.28437499999999999</v>
      </c>
      <c r="L88">
        <v>0.8125</v>
      </c>
      <c r="M88">
        <v>0.28437499999999999</v>
      </c>
    </row>
    <row r="89" spans="1:13" x14ac:dyDescent="0.35">
      <c r="A89" t="s">
        <v>102</v>
      </c>
      <c r="B89">
        <v>0.8125</v>
      </c>
      <c r="C89">
        <v>0.28437499999999999</v>
      </c>
      <c r="D89">
        <v>0.28437499999999999</v>
      </c>
      <c r="E89">
        <v>0.8125</v>
      </c>
      <c r="F89">
        <v>0.28437499999999999</v>
      </c>
      <c r="G89">
        <v>0.28437499999999999</v>
      </c>
      <c r="H89">
        <v>1</v>
      </c>
      <c r="I89">
        <v>0.4375</v>
      </c>
      <c r="J89">
        <v>0.4375</v>
      </c>
      <c r="K89">
        <v>0.28437499999999999</v>
      </c>
      <c r="L89">
        <v>0.28437499999999999</v>
      </c>
      <c r="M89">
        <v>0.28437499999999999</v>
      </c>
    </row>
    <row r="90" spans="1:13" x14ac:dyDescent="0.35">
      <c r="A90" t="s">
        <v>104</v>
      </c>
      <c r="B90">
        <v>0.28437499999999999</v>
      </c>
      <c r="C90">
        <v>0.8125</v>
      </c>
      <c r="D90">
        <v>0.28437499999999999</v>
      </c>
      <c r="E90">
        <v>0.28437499999999999</v>
      </c>
      <c r="F90">
        <v>0.8125</v>
      </c>
      <c r="G90">
        <v>0.28437499999999999</v>
      </c>
      <c r="H90">
        <v>0.4375</v>
      </c>
      <c r="I90">
        <v>1</v>
      </c>
      <c r="J90">
        <v>0.4375</v>
      </c>
      <c r="K90">
        <v>0.8125</v>
      </c>
      <c r="L90">
        <v>0.28437499999999999</v>
      </c>
      <c r="M90">
        <v>0.8125</v>
      </c>
    </row>
    <row r="91" spans="1:13" x14ac:dyDescent="0.35">
      <c r="A91" t="s">
        <v>105</v>
      </c>
      <c r="B91">
        <v>0.28437499999999999</v>
      </c>
      <c r="C91">
        <v>0.28437499999999999</v>
      </c>
      <c r="D91">
        <v>0.8125</v>
      </c>
      <c r="E91">
        <v>0.28437499999999999</v>
      </c>
      <c r="F91">
        <v>0.28437499999999999</v>
      </c>
      <c r="G91">
        <v>0.8125</v>
      </c>
      <c r="H91">
        <v>0.4375</v>
      </c>
      <c r="I91">
        <v>0.4375</v>
      </c>
      <c r="J91">
        <v>1</v>
      </c>
      <c r="K91">
        <v>0.28437499999999999</v>
      </c>
      <c r="L91">
        <v>0.8125</v>
      </c>
      <c r="M91">
        <v>0.28437499999999999</v>
      </c>
    </row>
    <row r="92" spans="1:13" x14ac:dyDescent="0.35">
      <c r="A92" t="s">
        <v>106</v>
      </c>
      <c r="B92">
        <v>0.28437499999999999</v>
      </c>
      <c r="C92">
        <v>0.8125</v>
      </c>
      <c r="D92">
        <v>0.28437499999999999</v>
      </c>
      <c r="E92">
        <v>0.28437499999999999</v>
      </c>
      <c r="F92">
        <v>0.8125</v>
      </c>
      <c r="G92">
        <v>0.28437499999999999</v>
      </c>
      <c r="H92">
        <v>0.28437499999999999</v>
      </c>
      <c r="I92">
        <v>0.8125</v>
      </c>
      <c r="J92">
        <v>0.28437499999999999</v>
      </c>
      <c r="K92">
        <v>1</v>
      </c>
      <c r="L92">
        <v>0.4375</v>
      </c>
      <c r="M92">
        <v>0.8125</v>
      </c>
    </row>
    <row r="93" spans="1:13" x14ac:dyDescent="0.35">
      <c r="A93" t="s">
        <v>108</v>
      </c>
      <c r="B93">
        <v>0.28437499999999999</v>
      </c>
      <c r="C93">
        <v>0.28437499999999999</v>
      </c>
      <c r="D93">
        <v>0.8125</v>
      </c>
      <c r="E93">
        <v>0.28437499999999999</v>
      </c>
      <c r="F93">
        <v>0.28437499999999999</v>
      </c>
      <c r="G93">
        <v>0.8125</v>
      </c>
      <c r="H93">
        <v>0.28437499999999999</v>
      </c>
      <c r="I93">
        <v>0.28437499999999999</v>
      </c>
      <c r="J93">
        <v>0.8125</v>
      </c>
      <c r="K93">
        <v>0.4375</v>
      </c>
      <c r="L93">
        <v>1</v>
      </c>
      <c r="M93">
        <v>0.28437499999999999</v>
      </c>
    </row>
    <row r="94" spans="1:13" x14ac:dyDescent="0.35">
      <c r="A94" t="s">
        <v>109</v>
      </c>
      <c r="B94">
        <v>0.28437499999999999</v>
      </c>
      <c r="C94">
        <v>0.8125</v>
      </c>
      <c r="D94">
        <v>0.28437499999999999</v>
      </c>
      <c r="E94">
        <v>0.28437499999999999</v>
      </c>
      <c r="F94">
        <v>0.8125</v>
      </c>
      <c r="G94">
        <v>0.28437499999999999</v>
      </c>
      <c r="H94">
        <v>0.28437499999999999</v>
      </c>
      <c r="I94">
        <v>0.8125</v>
      </c>
      <c r="J94">
        <v>0.28437499999999999</v>
      </c>
      <c r="K94">
        <v>0.8125</v>
      </c>
      <c r="L94">
        <v>0.28437499999999999</v>
      </c>
      <c r="M94">
        <v>1</v>
      </c>
    </row>
    <row r="97" spans="1:22" x14ac:dyDescent="0.35">
      <c r="A97" t="s">
        <v>374</v>
      </c>
    </row>
    <row r="98" spans="1:22" x14ac:dyDescent="0.35">
      <c r="B98" t="s">
        <v>111</v>
      </c>
      <c r="C98" t="s">
        <v>114</v>
      </c>
      <c r="D98" t="s">
        <v>116</v>
      </c>
      <c r="E98" t="s">
        <v>118</v>
      </c>
      <c r="F98" t="s">
        <v>120</v>
      </c>
      <c r="G98" t="s">
        <v>122</v>
      </c>
      <c r="H98" t="s">
        <v>124</v>
      </c>
      <c r="I98" t="s">
        <v>126</v>
      </c>
      <c r="J98" t="s">
        <v>127</v>
      </c>
      <c r="K98" t="s">
        <v>128</v>
      </c>
      <c r="L98" t="s">
        <v>129</v>
      </c>
      <c r="M98" t="s">
        <v>130</v>
      </c>
      <c r="N98" t="s">
        <v>131</v>
      </c>
      <c r="O98" t="s">
        <v>133</v>
      </c>
      <c r="P98" t="s">
        <v>134</v>
      </c>
      <c r="Q98" t="s">
        <v>135</v>
      </c>
      <c r="R98" t="s">
        <v>136</v>
      </c>
      <c r="S98" t="s">
        <v>137</v>
      </c>
      <c r="T98" t="s">
        <v>138</v>
      </c>
      <c r="U98" t="s">
        <v>140</v>
      </c>
      <c r="V98" t="s">
        <v>141</v>
      </c>
    </row>
    <row r="99" spans="1:22" x14ac:dyDescent="0.35">
      <c r="A99" t="s">
        <v>111</v>
      </c>
      <c r="B99">
        <v>1</v>
      </c>
      <c r="C99">
        <v>0.4375</v>
      </c>
      <c r="D99">
        <v>0.4375</v>
      </c>
      <c r="E99">
        <v>0.4375</v>
      </c>
      <c r="F99">
        <v>0.4375</v>
      </c>
      <c r="G99">
        <v>0.4375</v>
      </c>
      <c r="H99">
        <v>0.8125</v>
      </c>
      <c r="I99">
        <v>0.28437499999999999</v>
      </c>
      <c r="J99">
        <v>0.28437499999999999</v>
      </c>
      <c r="K99">
        <v>0.28437499999999999</v>
      </c>
      <c r="L99">
        <v>0.28437499999999999</v>
      </c>
      <c r="M99">
        <v>0.28437499999999999</v>
      </c>
      <c r="N99">
        <v>0.8125</v>
      </c>
      <c r="O99">
        <v>0.28437499999999999</v>
      </c>
      <c r="P99">
        <v>0.28437499999999999</v>
      </c>
      <c r="Q99">
        <v>0.28437499999999999</v>
      </c>
      <c r="R99">
        <v>0.28437499999999999</v>
      </c>
      <c r="S99">
        <v>0.28437499999999999</v>
      </c>
      <c r="T99">
        <v>0.28437499999999999</v>
      </c>
      <c r="U99">
        <v>0.28437499999999999</v>
      </c>
      <c r="V99">
        <v>0.28437499999999999</v>
      </c>
    </row>
    <row r="100" spans="1:22" x14ac:dyDescent="0.35">
      <c r="A100" t="s">
        <v>114</v>
      </c>
      <c r="B100">
        <v>0.4375</v>
      </c>
      <c r="C100">
        <v>1</v>
      </c>
      <c r="D100">
        <v>0.4375</v>
      </c>
      <c r="E100">
        <v>0.4375</v>
      </c>
      <c r="F100">
        <v>0.4375</v>
      </c>
      <c r="G100">
        <v>0.4375</v>
      </c>
      <c r="H100">
        <v>0.28437499999999999</v>
      </c>
      <c r="I100">
        <v>0.8125</v>
      </c>
      <c r="J100">
        <v>0.28437499999999999</v>
      </c>
      <c r="K100">
        <v>0.28437499999999999</v>
      </c>
      <c r="L100">
        <v>0.28437499999999999</v>
      </c>
      <c r="M100">
        <v>0.28437499999999999</v>
      </c>
      <c r="N100">
        <v>0.28437499999999999</v>
      </c>
      <c r="O100">
        <v>0.8125</v>
      </c>
      <c r="P100">
        <v>0.28437499999999999</v>
      </c>
      <c r="Q100">
        <v>0.28437499999999999</v>
      </c>
      <c r="R100">
        <v>0.28437499999999999</v>
      </c>
      <c r="S100">
        <v>0.28437499999999999</v>
      </c>
      <c r="T100">
        <v>0.28437499999999999</v>
      </c>
      <c r="U100">
        <v>0.28437499999999999</v>
      </c>
      <c r="V100">
        <v>0.28437499999999999</v>
      </c>
    </row>
    <row r="101" spans="1:22" x14ac:dyDescent="0.35">
      <c r="A101" t="s">
        <v>116</v>
      </c>
      <c r="B101">
        <v>0.4375</v>
      </c>
      <c r="C101">
        <v>0.4375</v>
      </c>
      <c r="D101">
        <v>1</v>
      </c>
      <c r="E101">
        <v>0.4375</v>
      </c>
      <c r="F101">
        <v>0.4375</v>
      </c>
      <c r="G101">
        <v>0.4375</v>
      </c>
      <c r="H101">
        <v>0.28437499999999999</v>
      </c>
      <c r="I101">
        <v>0.28437499999999999</v>
      </c>
      <c r="J101">
        <v>0.8125</v>
      </c>
      <c r="K101">
        <v>0.28437499999999999</v>
      </c>
      <c r="L101">
        <v>0.28437499999999999</v>
      </c>
      <c r="M101">
        <v>0.28437499999999999</v>
      </c>
      <c r="N101">
        <v>0.28437499999999999</v>
      </c>
      <c r="O101">
        <v>0.28437499999999999</v>
      </c>
      <c r="P101">
        <v>0.8125</v>
      </c>
      <c r="Q101">
        <v>0.28437499999999999</v>
      </c>
      <c r="R101">
        <v>0.28437499999999999</v>
      </c>
      <c r="S101">
        <v>0.28437499999999999</v>
      </c>
      <c r="T101">
        <v>0.8125</v>
      </c>
      <c r="U101">
        <v>0.28437499999999999</v>
      </c>
      <c r="V101">
        <v>0.28437499999999999</v>
      </c>
    </row>
    <row r="102" spans="1:22" x14ac:dyDescent="0.35">
      <c r="A102" t="s">
        <v>118</v>
      </c>
      <c r="B102">
        <v>0.4375</v>
      </c>
      <c r="C102">
        <v>0.4375</v>
      </c>
      <c r="D102">
        <v>0.4375</v>
      </c>
      <c r="E102">
        <v>1</v>
      </c>
      <c r="F102">
        <v>0.4375</v>
      </c>
      <c r="G102">
        <v>0.4375</v>
      </c>
      <c r="H102">
        <v>0.28437499999999999</v>
      </c>
      <c r="I102">
        <v>0.28437499999999999</v>
      </c>
      <c r="J102">
        <v>0.28437499999999999</v>
      </c>
      <c r="K102">
        <v>0.8125</v>
      </c>
      <c r="L102">
        <v>0.28437499999999999</v>
      </c>
      <c r="M102">
        <v>0.28437499999999999</v>
      </c>
      <c r="N102">
        <v>0.28437499999999999</v>
      </c>
      <c r="O102">
        <v>0.28437499999999999</v>
      </c>
      <c r="P102">
        <v>0.28437499999999999</v>
      </c>
      <c r="Q102">
        <v>0.8125</v>
      </c>
      <c r="R102">
        <v>0.28437499999999999</v>
      </c>
      <c r="S102">
        <v>0.28437499999999999</v>
      </c>
      <c r="T102">
        <v>0.28437499999999999</v>
      </c>
      <c r="U102">
        <v>0.28437499999999999</v>
      </c>
      <c r="V102">
        <v>0.28437499999999999</v>
      </c>
    </row>
    <row r="103" spans="1:22" x14ac:dyDescent="0.35">
      <c r="A103" t="s">
        <v>120</v>
      </c>
      <c r="B103">
        <v>0.4375</v>
      </c>
      <c r="C103">
        <v>0.4375</v>
      </c>
      <c r="D103">
        <v>0.4375</v>
      </c>
      <c r="E103">
        <v>0.4375</v>
      </c>
      <c r="F103">
        <v>1</v>
      </c>
      <c r="G103">
        <v>0.4375</v>
      </c>
      <c r="H103">
        <v>0.28437499999999999</v>
      </c>
      <c r="I103">
        <v>0.28437499999999999</v>
      </c>
      <c r="J103">
        <v>0.28437499999999999</v>
      </c>
      <c r="K103">
        <v>0.28437499999999999</v>
      </c>
      <c r="L103">
        <v>0.8125</v>
      </c>
      <c r="M103">
        <v>0.28437499999999999</v>
      </c>
      <c r="N103">
        <v>0.28437499999999999</v>
      </c>
      <c r="O103">
        <v>0.28437499999999999</v>
      </c>
      <c r="P103">
        <v>0.28437499999999999</v>
      </c>
      <c r="Q103">
        <v>0.28437499999999999</v>
      </c>
      <c r="R103">
        <v>0.8125</v>
      </c>
      <c r="S103">
        <v>0.28437499999999999</v>
      </c>
      <c r="T103">
        <v>0.28437499999999999</v>
      </c>
      <c r="U103">
        <v>0.8125</v>
      </c>
      <c r="V103">
        <v>0.28437499999999999</v>
      </c>
    </row>
    <row r="104" spans="1:22" x14ac:dyDescent="0.35">
      <c r="A104" t="s">
        <v>122</v>
      </c>
      <c r="B104">
        <v>0.4375</v>
      </c>
      <c r="C104">
        <v>0.4375</v>
      </c>
      <c r="D104">
        <v>0.4375</v>
      </c>
      <c r="E104">
        <v>0.4375</v>
      </c>
      <c r="F104">
        <v>0.4375</v>
      </c>
      <c r="G104">
        <v>1</v>
      </c>
      <c r="H104">
        <v>0.28437499999999999</v>
      </c>
      <c r="I104">
        <v>0.28437499999999999</v>
      </c>
      <c r="J104">
        <v>0.28437499999999999</v>
      </c>
      <c r="K104">
        <v>0.28437499999999999</v>
      </c>
      <c r="L104">
        <v>0.28437499999999999</v>
      </c>
      <c r="M104">
        <v>0.8125</v>
      </c>
      <c r="N104">
        <v>0.28437499999999999</v>
      </c>
      <c r="O104">
        <v>0.28437499999999999</v>
      </c>
      <c r="P104">
        <v>0.28437499999999999</v>
      </c>
      <c r="Q104">
        <v>0.28437499999999999</v>
      </c>
      <c r="R104">
        <v>0.28437499999999999</v>
      </c>
      <c r="S104">
        <v>0.8125</v>
      </c>
      <c r="T104">
        <v>0.28437499999999999</v>
      </c>
      <c r="U104">
        <v>0.28437499999999999</v>
      </c>
      <c r="V104">
        <v>0.8125</v>
      </c>
    </row>
    <row r="105" spans="1:22" x14ac:dyDescent="0.35">
      <c r="A105" t="s">
        <v>124</v>
      </c>
      <c r="B105">
        <v>0.8125</v>
      </c>
      <c r="C105">
        <v>0.28437499999999999</v>
      </c>
      <c r="D105">
        <v>0.28437499999999999</v>
      </c>
      <c r="E105">
        <v>0.28437499999999999</v>
      </c>
      <c r="F105">
        <v>0.28437499999999999</v>
      </c>
      <c r="G105">
        <v>0.28437499999999999</v>
      </c>
      <c r="H105">
        <v>1</v>
      </c>
      <c r="I105">
        <v>0.4375</v>
      </c>
      <c r="J105">
        <v>0.4375</v>
      </c>
      <c r="K105">
        <v>0.4375</v>
      </c>
      <c r="L105">
        <v>0.4375</v>
      </c>
      <c r="M105">
        <v>0.4375</v>
      </c>
      <c r="N105">
        <v>0.8125</v>
      </c>
      <c r="O105">
        <v>0.28437499999999999</v>
      </c>
      <c r="P105">
        <v>0.28437499999999999</v>
      </c>
      <c r="Q105">
        <v>0.28437499999999999</v>
      </c>
      <c r="R105">
        <v>0.28437499999999999</v>
      </c>
      <c r="S105">
        <v>0.28437499999999999</v>
      </c>
      <c r="T105">
        <v>0.28437499999999999</v>
      </c>
      <c r="U105">
        <v>0.28437499999999999</v>
      </c>
      <c r="V105">
        <v>0.28437499999999999</v>
      </c>
    </row>
    <row r="106" spans="1:22" x14ac:dyDescent="0.35">
      <c r="A106" t="s">
        <v>126</v>
      </c>
      <c r="B106">
        <v>0.28437499999999999</v>
      </c>
      <c r="C106">
        <v>0.8125</v>
      </c>
      <c r="D106">
        <v>0.28437499999999999</v>
      </c>
      <c r="E106">
        <v>0.28437499999999999</v>
      </c>
      <c r="F106">
        <v>0.28437499999999999</v>
      </c>
      <c r="G106">
        <v>0.28437499999999999</v>
      </c>
      <c r="H106">
        <v>0.4375</v>
      </c>
      <c r="I106">
        <v>1</v>
      </c>
      <c r="J106">
        <v>0.4375</v>
      </c>
      <c r="K106">
        <v>0.4375</v>
      </c>
      <c r="L106">
        <v>0.4375</v>
      </c>
      <c r="M106">
        <v>0.4375</v>
      </c>
      <c r="N106">
        <v>0.28437499999999999</v>
      </c>
      <c r="O106">
        <v>0.8125</v>
      </c>
      <c r="P106">
        <v>0.28437499999999999</v>
      </c>
      <c r="Q106">
        <v>0.28437499999999999</v>
      </c>
      <c r="R106">
        <v>0.28437499999999999</v>
      </c>
      <c r="S106">
        <v>0.28437499999999999</v>
      </c>
      <c r="T106">
        <v>0.28437499999999999</v>
      </c>
      <c r="U106">
        <v>0.28437499999999999</v>
      </c>
      <c r="V106">
        <v>0.28437499999999999</v>
      </c>
    </row>
    <row r="107" spans="1:22" x14ac:dyDescent="0.35">
      <c r="A107" t="s">
        <v>127</v>
      </c>
      <c r="B107">
        <v>0.28437499999999999</v>
      </c>
      <c r="C107">
        <v>0.28437499999999999</v>
      </c>
      <c r="D107">
        <v>0.8125</v>
      </c>
      <c r="E107">
        <v>0.28437499999999999</v>
      </c>
      <c r="F107">
        <v>0.28437499999999999</v>
      </c>
      <c r="G107">
        <v>0.28437499999999999</v>
      </c>
      <c r="H107">
        <v>0.4375</v>
      </c>
      <c r="I107">
        <v>0.4375</v>
      </c>
      <c r="J107">
        <v>1</v>
      </c>
      <c r="K107">
        <v>0.4375</v>
      </c>
      <c r="L107">
        <v>0.4375</v>
      </c>
      <c r="M107">
        <v>0.4375</v>
      </c>
      <c r="N107">
        <v>0.28437499999999999</v>
      </c>
      <c r="O107">
        <v>0.28437499999999999</v>
      </c>
      <c r="P107">
        <v>0.8125</v>
      </c>
      <c r="Q107">
        <v>0.28437499999999999</v>
      </c>
      <c r="R107">
        <v>0.28437499999999999</v>
      </c>
      <c r="S107">
        <v>0.28437499999999999</v>
      </c>
      <c r="T107">
        <v>0.8125</v>
      </c>
      <c r="U107">
        <v>0.28437499999999999</v>
      </c>
      <c r="V107">
        <v>0.28437499999999999</v>
      </c>
    </row>
    <row r="108" spans="1:22" x14ac:dyDescent="0.35">
      <c r="A108" t="s">
        <v>128</v>
      </c>
      <c r="B108">
        <v>0.28437499999999999</v>
      </c>
      <c r="C108">
        <v>0.28437499999999999</v>
      </c>
      <c r="D108">
        <v>0.28437499999999999</v>
      </c>
      <c r="E108">
        <v>0.8125</v>
      </c>
      <c r="F108">
        <v>0.28437499999999999</v>
      </c>
      <c r="G108">
        <v>0.28437499999999999</v>
      </c>
      <c r="H108">
        <v>0.4375</v>
      </c>
      <c r="I108">
        <v>0.4375</v>
      </c>
      <c r="J108">
        <v>0.4375</v>
      </c>
      <c r="K108">
        <v>1</v>
      </c>
      <c r="L108">
        <v>0.4375</v>
      </c>
      <c r="M108">
        <v>0.4375</v>
      </c>
      <c r="N108">
        <v>0.28437499999999999</v>
      </c>
      <c r="O108">
        <v>0.28437499999999999</v>
      </c>
      <c r="P108">
        <v>0.28437499999999999</v>
      </c>
      <c r="Q108">
        <v>0.8125</v>
      </c>
      <c r="R108">
        <v>0.28437499999999999</v>
      </c>
      <c r="S108">
        <v>0.28437499999999999</v>
      </c>
      <c r="T108">
        <v>0.28437499999999999</v>
      </c>
      <c r="U108">
        <v>0.28437499999999999</v>
      </c>
      <c r="V108">
        <v>0.28437499999999999</v>
      </c>
    </row>
    <row r="109" spans="1:22" x14ac:dyDescent="0.35">
      <c r="A109" t="s">
        <v>129</v>
      </c>
      <c r="B109">
        <v>0.28437499999999999</v>
      </c>
      <c r="C109">
        <v>0.28437499999999999</v>
      </c>
      <c r="D109">
        <v>0.28437499999999999</v>
      </c>
      <c r="E109">
        <v>0.28437499999999999</v>
      </c>
      <c r="F109">
        <v>0.8125</v>
      </c>
      <c r="G109">
        <v>0.28437499999999999</v>
      </c>
      <c r="H109">
        <v>0.4375</v>
      </c>
      <c r="I109">
        <v>0.4375</v>
      </c>
      <c r="J109">
        <v>0.4375</v>
      </c>
      <c r="K109">
        <v>0.4375</v>
      </c>
      <c r="L109">
        <v>1</v>
      </c>
      <c r="M109">
        <v>0.4375</v>
      </c>
      <c r="N109">
        <v>0.28437499999999999</v>
      </c>
      <c r="O109">
        <v>0.28437499999999999</v>
      </c>
      <c r="P109">
        <v>0.28437499999999999</v>
      </c>
      <c r="Q109">
        <v>0.28437499999999999</v>
      </c>
      <c r="R109">
        <v>0.8125</v>
      </c>
      <c r="S109">
        <v>0.28437499999999999</v>
      </c>
      <c r="T109">
        <v>0.28437499999999999</v>
      </c>
      <c r="U109">
        <v>0.8125</v>
      </c>
      <c r="V109">
        <v>0.28437499999999999</v>
      </c>
    </row>
    <row r="110" spans="1:22" x14ac:dyDescent="0.35">
      <c r="A110" t="s">
        <v>130</v>
      </c>
      <c r="B110">
        <v>0.28437499999999999</v>
      </c>
      <c r="C110">
        <v>0.28437499999999999</v>
      </c>
      <c r="D110">
        <v>0.28437499999999999</v>
      </c>
      <c r="E110">
        <v>0.28437499999999999</v>
      </c>
      <c r="F110">
        <v>0.28437499999999999</v>
      </c>
      <c r="G110">
        <v>0.8125</v>
      </c>
      <c r="H110">
        <v>0.4375</v>
      </c>
      <c r="I110">
        <v>0.4375</v>
      </c>
      <c r="J110">
        <v>0.4375</v>
      </c>
      <c r="K110">
        <v>0.4375</v>
      </c>
      <c r="L110">
        <v>0.4375</v>
      </c>
      <c r="M110">
        <v>1</v>
      </c>
      <c r="N110">
        <v>0.28437499999999999</v>
      </c>
      <c r="O110">
        <v>0.28437499999999999</v>
      </c>
      <c r="P110">
        <v>0.28437499999999999</v>
      </c>
      <c r="Q110">
        <v>0.28437499999999999</v>
      </c>
      <c r="R110">
        <v>0.28437499999999999</v>
      </c>
      <c r="S110">
        <v>0.8125</v>
      </c>
      <c r="T110">
        <v>0.28437499999999999</v>
      </c>
      <c r="U110">
        <v>0.28437499999999999</v>
      </c>
      <c r="V110">
        <v>0.8125</v>
      </c>
    </row>
    <row r="111" spans="1:22" x14ac:dyDescent="0.35">
      <c r="A111" t="s">
        <v>131</v>
      </c>
      <c r="B111">
        <v>0.8125</v>
      </c>
      <c r="C111">
        <v>0.28437499999999999</v>
      </c>
      <c r="D111">
        <v>0.28437499999999999</v>
      </c>
      <c r="E111">
        <v>0.28437499999999999</v>
      </c>
      <c r="F111">
        <v>0.28437499999999999</v>
      </c>
      <c r="G111">
        <v>0.28437499999999999</v>
      </c>
      <c r="H111">
        <v>0.8125</v>
      </c>
      <c r="I111">
        <v>0.28437499999999999</v>
      </c>
      <c r="J111">
        <v>0.28437499999999999</v>
      </c>
      <c r="K111">
        <v>0.28437499999999999</v>
      </c>
      <c r="L111">
        <v>0.28437499999999999</v>
      </c>
      <c r="M111">
        <v>0.28437499999999999</v>
      </c>
      <c r="N111">
        <v>1</v>
      </c>
      <c r="O111">
        <v>0.4375</v>
      </c>
      <c r="P111">
        <v>0.4375</v>
      </c>
      <c r="Q111">
        <v>0.4375</v>
      </c>
      <c r="R111">
        <v>0.4375</v>
      </c>
      <c r="S111">
        <v>0.4375</v>
      </c>
      <c r="T111">
        <v>0.28437499999999999</v>
      </c>
      <c r="U111">
        <v>0.28437499999999999</v>
      </c>
      <c r="V111">
        <v>0.28437499999999999</v>
      </c>
    </row>
    <row r="112" spans="1:22" x14ac:dyDescent="0.35">
      <c r="A112" t="s">
        <v>133</v>
      </c>
      <c r="B112">
        <v>0.28437499999999999</v>
      </c>
      <c r="C112">
        <v>0.8125</v>
      </c>
      <c r="D112">
        <v>0.28437499999999999</v>
      </c>
      <c r="E112">
        <v>0.28437499999999999</v>
      </c>
      <c r="F112">
        <v>0.28437499999999999</v>
      </c>
      <c r="G112">
        <v>0.28437499999999999</v>
      </c>
      <c r="H112">
        <v>0.28437499999999999</v>
      </c>
      <c r="I112">
        <v>0.8125</v>
      </c>
      <c r="J112">
        <v>0.28437499999999999</v>
      </c>
      <c r="K112">
        <v>0.28437499999999999</v>
      </c>
      <c r="L112">
        <v>0.28437499999999999</v>
      </c>
      <c r="M112">
        <v>0.28437499999999999</v>
      </c>
      <c r="N112">
        <v>0.4375</v>
      </c>
      <c r="O112">
        <v>1</v>
      </c>
      <c r="P112">
        <v>0.4375</v>
      </c>
      <c r="Q112">
        <v>0.4375</v>
      </c>
      <c r="R112">
        <v>0.4375</v>
      </c>
      <c r="S112">
        <v>0.4375</v>
      </c>
      <c r="T112">
        <v>0.28437499999999999</v>
      </c>
      <c r="U112">
        <v>0.28437499999999999</v>
      </c>
      <c r="V112">
        <v>0.28437499999999999</v>
      </c>
    </row>
    <row r="113" spans="1:22" x14ac:dyDescent="0.35">
      <c r="A113" t="s">
        <v>134</v>
      </c>
      <c r="B113">
        <v>0.28437499999999999</v>
      </c>
      <c r="C113">
        <v>0.28437499999999999</v>
      </c>
      <c r="D113">
        <v>0.8125</v>
      </c>
      <c r="E113">
        <v>0.28437499999999999</v>
      </c>
      <c r="F113">
        <v>0.28437499999999999</v>
      </c>
      <c r="G113">
        <v>0.28437499999999999</v>
      </c>
      <c r="H113">
        <v>0.28437499999999999</v>
      </c>
      <c r="I113">
        <v>0.28437499999999999</v>
      </c>
      <c r="J113">
        <v>0.8125</v>
      </c>
      <c r="K113">
        <v>0.28437499999999999</v>
      </c>
      <c r="L113">
        <v>0.28437499999999999</v>
      </c>
      <c r="M113">
        <v>0.28437499999999999</v>
      </c>
      <c r="N113">
        <v>0.4375</v>
      </c>
      <c r="O113">
        <v>0.4375</v>
      </c>
      <c r="P113">
        <v>1</v>
      </c>
      <c r="Q113">
        <v>0.4375</v>
      </c>
      <c r="R113">
        <v>0.4375</v>
      </c>
      <c r="S113">
        <v>0.4375</v>
      </c>
      <c r="T113">
        <v>0.8125</v>
      </c>
      <c r="U113">
        <v>0.28437499999999999</v>
      </c>
      <c r="V113">
        <v>0.28437499999999999</v>
      </c>
    </row>
    <row r="114" spans="1:22" x14ac:dyDescent="0.35">
      <c r="A114" t="s">
        <v>135</v>
      </c>
      <c r="B114">
        <v>0.28437499999999999</v>
      </c>
      <c r="C114">
        <v>0.28437499999999999</v>
      </c>
      <c r="D114">
        <v>0.28437499999999999</v>
      </c>
      <c r="E114">
        <v>0.8125</v>
      </c>
      <c r="F114">
        <v>0.28437499999999999</v>
      </c>
      <c r="G114">
        <v>0.28437499999999999</v>
      </c>
      <c r="H114">
        <v>0.28437499999999999</v>
      </c>
      <c r="I114">
        <v>0.28437499999999999</v>
      </c>
      <c r="J114">
        <v>0.28437499999999999</v>
      </c>
      <c r="K114">
        <v>0.8125</v>
      </c>
      <c r="L114">
        <v>0.28437499999999999</v>
      </c>
      <c r="M114">
        <v>0.28437499999999999</v>
      </c>
      <c r="N114">
        <v>0.4375</v>
      </c>
      <c r="O114">
        <v>0.4375</v>
      </c>
      <c r="P114">
        <v>0.4375</v>
      </c>
      <c r="Q114">
        <v>1</v>
      </c>
      <c r="R114">
        <v>0.4375</v>
      </c>
      <c r="S114">
        <v>0.4375</v>
      </c>
      <c r="T114">
        <v>0.28437499999999999</v>
      </c>
      <c r="U114">
        <v>0.28437499999999999</v>
      </c>
      <c r="V114">
        <v>0.28437499999999999</v>
      </c>
    </row>
    <row r="115" spans="1:22" x14ac:dyDescent="0.35">
      <c r="A115" t="s">
        <v>136</v>
      </c>
      <c r="B115">
        <v>0.28437499999999999</v>
      </c>
      <c r="C115">
        <v>0.28437499999999999</v>
      </c>
      <c r="D115">
        <v>0.28437499999999999</v>
      </c>
      <c r="E115">
        <v>0.28437499999999999</v>
      </c>
      <c r="F115">
        <v>0.8125</v>
      </c>
      <c r="G115">
        <v>0.28437499999999999</v>
      </c>
      <c r="H115">
        <v>0.28437499999999999</v>
      </c>
      <c r="I115">
        <v>0.28437499999999999</v>
      </c>
      <c r="J115">
        <v>0.28437499999999999</v>
      </c>
      <c r="K115">
        <v>0.28437499999999999</v>
      </c>
      <c r="L115">
        <v>0.8125</v>
      </c>
      <c r="M115">
        <v>0.28437499999999999</v>
      </c>
      <c r="N115">
        <v>0.4375</v>
      </c>
      <c r="O115">
        <v>0.4375</v>
      </c>
      <c r="P115">
        <v>0.4375</v>
      </c>
      <c r="Q115">
        <v>0.4375</v>
      </c>
      <c r="R115">
        <v>1</v>
      </c>
      <c r="S115">
        <v>0.4375</v>
      </c>
      <c r="T115">
        <v>0.28437499999999999</v>
      </c>
      <c r="U115">
        <v>0.8125</v>
      </c>
      <c r="V115">
        <v>0.28437499999999999</v>
      </c>
    </row>
    <row r="116" spans="1:22" x14ac:dyDescent="0.35">
      <c r="A116" t="s">
        <v>137</v>
      </c>
      <c r="B116">
        <v>0.28437499999999999</v>
      </c>
      <c r="C116">
        <v>0.28437499999999999</v>
      </c>
      <c r="D116">
        <v>0.28437499999999999</v>
      </c>
      <c r="E116">
        <v>0.28437499999999999</v>
      </c>
      <c r="F116">
        <v>0.28437499999999999</v>
      </c>
      <c r="G116">
        <v>0.8125</v>
      </c>
      <c r="H116">
        <v>0.28437499999999999</v>
      </c>
      <c r="I116">
        <v>0.28437499999999999</v>
      </c>
      <c r="J116">
        <v>0.28437499999999999</v>
      </c>
      <c r="K116">
        <v>0.28437499999999999</v>
      </c>
      <c r="L116">
        <v>0.28437499999999999</v>
      </c>
      <c r="M116">
        <v>0.8125</v>
      </c>
      <c r="N116">
        <v>0.4375</v>
      </c>
      <c r="O116">
        <v>0.4375</v>
      </c>
      <c r="P116">
        <v>0.4375</v>
      </c>
      <c r="Q116">
        <v>0.4375</v>
      </c>
      <c r="R116">
        <v>0.4375</v>
      </c>
      <c r="S116">
        <v>1</v>
      </c>
      <c r="T116">
        <v>0.28437499999999999</v>
      </c>
      <c r="U116">
        <v>0.28437499999999999</v>
      </c>
      <c r="V116">
        <v>0.8125</v>
      </c>
    </row>
    <row r="117" spans="1:22" x14ac:dyDescent="0.35">
      <c r="A117" t="s">
        <v>138</v>
      </c>
      <c r="B117">
        <v>0.28437499999999999</v>
      </c>
      <c r="C117">
        <v>0.28437499999999999</v>
      </c>
      <c r="D117">
        <v>0.8125</v>
      </c>
      <c r="E117">
        <v>0.28437499999999999</v>
      </c>
      <c r="F117">
        <v>0.28437499999999999</v>
      </c>
      <c r="G117">
        <v>0.28437499999999999</v>
      </c>
      <c r="H117">
        <v>0.28437499999999999</v>
      </c>
      <c r="I117">
        <v>0.28437499999999999</v>
      </c>
      <c r="J117">
        <v>0.8125</v>
      </c>
      <c r="K117">
        <v>0.28437499999999999</v>
      </c>
      <c r="L117">
        <v>0.28437499999999999</v>
      </c>
      <c r="M117">
        <v>0.28437499999999999</v>
      </c>
      <c r="N117">
        <v>0.28437499999999999</v>
      </c>
      <c r="O117">
        <v>0.28437499999999999</v>
      </c>
      <c r="P117">
        <v>0.8125</v>
      </c>
      <c r="Q117">
        <v>0.28437499999999999</v>
      </c>
      <c r="R117">
        <v>0.28437499999999999</v>
      </c>
      <c r="S117">
        <v>0.28437499999999999</v>
      </c>
      <c r="T117">
        <v>1</v>
      </c>
      <c r="U117">
        <v>0.4375</v>
      </c>
      <c r="V117">
        <v>0.4375</v>
      </c>
    </row>
    <row r="118" spans="1:22" x14ac:dyDescent="0.35">
      <c r="A118" t="s">
        <v>140</v>
      </c>
      <c r="B118">
        <v>0.28437499999999999</v>
      </c>
      <c r="C118">
        <v>0.28437499999999999</v>
      </c>
      <c r="D118">
        <v>0.28437499999999999</v>
      </c>
      <c r="E118">
        <v>0.28437499999999999</v>
      </c>
      <c r="F118">
        <v>0.8125</v>
      </c>
      <c r="G118">
        <v>0.28437499999999999</v>
      </c>
      <c r="H118">
        <v>0.28437499999999999</v>
      </c>
      <c r="I118">
        <v>0.28437499999999999</v>
      </c>
      <c r="J118">
        <v>0.28437499999999999</v>
      </c>
      <c r="K118">
        <v>0.28437499999999999</v>
      </c>
      <c r="L118">
        <v>0.8125</v>
      </c>
      <c r="M118">
        <v>0.28437499999999999</v>
      </c>
      <c r="N118">
        <v>0.28437499999999999</v>
      </c>
      <c r="O118">
        <v>0.28437499999999999</v>
      </c>
      <c r="P118">
        <v>0.28437499999999999</v>
      </c>
      <c r="Q118">
        <v>0.28437499999999999</v>
      </c>
      <c r="R118">
        <v>0.8125</v>
      </c>
      <c r="S118">
        <v>0.28437499999999999</v>
      </c>
      <c r="T118">
        <v>0.4375</v>
      </c>
      <c r="U118">
        <v>1</v>
      </c>
      <c r="V118">
        <v>0.4375</v>
      </c>
    </row>
    <row r="119" spans="1:22" x14ac:dyDescent="0.35">
      <c r="A119" t="s">
        <v>141</v>
      </c>
      <c r="B119">
        <v>0.28437499999999999</v>
      </c>
      <c r="C119">
        <v>0.28437499999999999</v>
      </c>
      <c r="D119">
        <v>0.28437499999999999</v>
      </c>
      <c r="E119">
        <v>0.28437499999999999</v>
      </c>
      <c r="F119">
        <v>0.28437499999999999</v>
      </c>
      <c r="G119">
        <v>0.8125</v>
      </c>
      <c r="H119">
        <v>0.28437499999999999</v>
      </c>
      <c r="I119">
        <v>0.28437499999999999</v>
      </c>
      <c r="J119">
        <v>0.28437499999999999</v>
      </c>
      <c r="K119">
        <v>0.28437499999999999</v>
      </c>
      <c r="L119">
        <v>0.28437499999999999</v>
      </c>
      <c r="M119">
        <v>0.8125</v>
      </c>
      <c r="N119">
        <v>0.28437499999999999</v>
      </c>
      <c r="O119">
        <v>0.28437499999999999</v>
      </c>
      <c r="P119">
        <v>0.28437499999999999</v>
      </c>
      <c r="Q119">
        <v>0.28437499999999999</v>
      </c>
      <c r="R119">
        <v>0.28437499999999999</v>
      </c>
      <c r="S119">
        <v>0.8125</v>
      </c>
      <c r="T119">
        <v>0.4375</v>
      </c>
      <c r="U119">
        <v>0.4375</v>
      </c>
      <c r="V119">
        <v>1</v>
      </c>
    </row>
    <row r="122" spans="1:22" x14ac:dyDescent="0.35">
      <c r="A122" t="s">
        <v>375</v>
      </c>
    </row>
    <row r="123" spans="1:22" x14ac:dyDescent="0.35">
      <c r="B123" t="s">
        <v>142</v>
      </c>
      <c r="C123" t="s">
        <v>145</v>
      </c>
      <c r="D123" t="s">
        <v>147</v>
      </c>
      <c r="E123" t="s">
        <v>149</v>
      </c>
      <c r="F123" t="s">
        <v>151</v>
      </c>
      <c r="G123" t="s">
        <v>152</v>
      </c>
      <c r="H123" t="s">
        <v>153</v>
      </c>
      <c r="I123" t="s">
        <v>155</v>
      </c>
      <c r="J123" t="s">
        <v>156</v>
      </c>
    </row>
    <row r="124" spans="1:22" x14ac:dyDescent="0.35">
      <c r="A124" t="s">
        <v>142</v>
      </c>
      <c r="B124">
        <v>1</v>
      </c>
      <c r="C124">
        <v>0.4375</v>
      </c>
      <c r="D124">
        <v>0.4375</v>
      </c>
      <c r="E124">
        <v>0.8125</v>
      </c>
      <c r="F124">
        <v>0.28437499999999999</v>
      </c>
      <c r="G124">
        <v>0.28437499999999999</v>
      </c>
      <c r="H124">
        <v>0.8125</v>
      </c>
      <c r="I124">
        <v>0.28437499999999999</v>
      </c>
      <c r="J124">
        <v>0.8125</v>
      </c>
    </row>
    <row r="125" spans="1:22" x14ac:dyDescent="0.35">
      <c r="A125" t="s">
        <v>145</v>
      </c>
      <c r="B125">
        <v>0.4375</v>
      </c>
      <c r="C125">
        <v>1</v>
      </c>
      <c r="D125">
        <v>0.4375</v>
      </c>
      <c r="E125">
        <v>0.28437499999999999</v>
      </c>
      <c r="F125">
        <v>0.8125</v>
      </c>
      <c r="G125">
        <v>0.28437499999999999</v>
      </c>
      <c r="H125">
        <v>0.28437499999999999</v>
      </c>
      <c r="I125">
        <v>0.28437499999999999</v>
      </c>
      <c r="J125">
        <v>0.28437499999999999</v>
      </c>
    </row>
    <row r="126" spans="1:22" x14ac:dyDescent="0.35">
      <c r="A126" t="s">
        <v>147</v>
      </c>
      <c r="B126">
        <v>0.4375</v>
      </c>
      <c r="C126">
        <v>0.4375</v>
      </c>
      <c r="D126">
        <v>1</v>
      </c>
      <c r="E126">
        <v>0.28437499999999999</v>
      </c>
      <c r="F126">
        <v>0.28437499999999999</v>
      </c>
      <c r="G126">
        <v>0.8125</v>
      </c>
      <c r="H126">
        <v>0.28437499999999999</v>
      </c>
      <c r="I126">
        <v>0.8125</v>
      </c>
      <c r="J126">
        <v>0.28437499999999999</v>
      </c>
    </row>
    <row r="127" spans="1:22" x14ac:dyDescent="0.35">
      <c r="A127" t="s">
        <v>149</v>
      </c>
      <c r="B127">
        <v>0.8125</v>
      </c>
      <c r="C127">
        <v>0.28437499999999999</v>
      </c>
      <c r="D127">
        <v>0.28437499999999999</v>
      </c>
      <c r="E127">
        <v>1</v>
      </c>
      <c r="F127">
        <v>0.4375</v>
      </c>
      <c r="G127">
        <v>0.4375</v>
      </c>
      <c r="H127">
        <v>0.8125</v>
      </c>
      <c r="I127">
        <v>0.28437499999999999</v>
      </c>
      <c r="J127">
        <v>0.8125</v>
      </c>
    </row>
    <row r="128" spans="1:22" x14ac:dyDescent="0.35">
      <c r="A128" t="s">
        <v>151</v>
      </c>
      <c r="B128">
        <v>0.28437499999999999</v>
      </c>
      <c r="C128">
        <v>0.8125</v>
      </c>
      <c r="D128">
        <v>0.28437499999999999</v>
      </c>
      <c r="E128">
        <v>0.4375</v>
      </c>
      <c r="F128">
        <v>1</v>
      </c>
      <c r="G128">
        <v>0.4375</v>
      </c>
      <c r="H128">
        <v>0.28437499999999999</v>
      </c>
      <c r="I128">
        <v>0.28437499999999999</v>
      </c>
      <c r="J128">
        <v>0.28437499999999999</v>
      </c>
    </row>
    <row r="129" spans="1:11" x14ac:dyDescent="0.35">
      <c r="A129" t="s">
        <v>152</v>
      </c>
      <c r="B129">
        <v>0.28437499999999999</v>
      </c>
      <c r="C129">
        <v>0.28437499999999999</v>
      </c>
      <c r="D129">
        <v>0.8125</v>
      </c>
      <c r="E129">
        <v>0.4375</v>
      </c>
      <c r="F129">
        <v>0.4375</v>
      </c>
      <c r="G129">
        <v>1</v>
      </c>
      <c r="H129">
        <v>0.28437499999999999</v>
      </c>
      <c r="I129">
        <v>0.8125</v>
      </c>
      <c r="J129">
        <v>0.28437499999999999</v>
      </c>
    </row>
    <row r="130" spans="1:11" x14ac:dyDescent="0.35">
      <c r="A130" t="s">
        <v>153</v>
      </c>
      <c r="B130">
        <v>0.8125</v>
      </c>
      <c r="C130">
        <v>0.28437499999999999</v>
      </c>
      <c r="D130">
        <v>0.28437499999999999</v>
      </c>
      <c r="E130">
        <v>0.8125</v>
      </c>
      <c r="F130">
        <v>0.28437499999999999</v>
      </c>
      <c r="G130">
        <v>0.28437499999999999</v>
      </c>
      <c r="H130">
        <v>1</v>
      </c>
      <c r="I130">
        <v>0.4375</v>
      </c>
      <c r="J130">
        <v>0.8125</v>
      </c>
    </row>
    <row r="131" spans="1:11" x14ac:dyDescent="0.35">
      <c r="A131" t="s">
        <v>155</v>
      </c>
      <c r="B131">
        <v>0.28437499999999999</v>
      </c>
      <c r="C131">
        <v>0.28437499999999999</v>
      </c>
      <c r="D131">
        <v>0.8125</v>
      </c>
      <c r="E131">
        <v>0.28437499999999999</v>
      </c>
      <c r="F131">
        <v>0.28437499999999999</v>
      </c>
      <c r="G131">
        <v>0.8125</v>
      </c>
      <c r="H131">
        <v>0.4375</v>
      </c>
      <c r="I131">
        <v>1</v>
      </c>
      <c r="J131">
        <v>0.28437499999999999</v>
      </c>
    </row>
    <row r="132" spans="1:11" x14ac:dyDescent="0.35">
      <c r="A132" t="s">
        <v>156</v>
      </c>
      <c r="B132">
        <v>0.8125</v>
      </c>
      <c r="C132">
        <v>0.28437499999999999</v>
      </c>
      <c r="D132">
        <v>0.28437499999999999</v>
      </c>
      <c r="E132">
        <v>0.8125</v>
      </c>
      <c r="F132">
        <v>0.28437499999999999</v>
      </c>
      <c r="G132">
        <v>0.28437499999999999</v>
      </c>
      <c r="H132">
        <v>0.8125</v>
      </c>
      <c r="I132">
        <v>0.28437499999999999</v>
      </c>
      <c r="J132">
        <v>1</v>
      </c>
    </row>
    <row r="135" spans="1:11" x14ac:dyDescent="0.35">
      <c r="A135" t="s">
        <v>376</v>
      </c>
    </row>
    <row r="136" spans="1:11" x14ac:dyDescent="0.35">
      <c r="B136" t="s">
        <v>159</v>
      </c>
      <c r="C136" t="s">
        <v>162</v>
      </c>
      <c r="D136" t="s">
        <v>164</v>
      </c>
    </row>
    <row r="137" spans="1:11" x14ac:dyDescent="0.35">
      <c r="A137" t="s">
        <v>159</v>
      </c>
      <c r="B137">
        <v>1</v>
      </c>
      <c r="C137">
        <v>1</v>
      </c>
      <c r="D137">
        <v>1</v>
      </c>
    </row>
    <row r="138" spans="1:11" x14ac:dyDescent="0.35">
      <c r="A138" t="s">
        <v>162</v>
      </c>
      <c r="B138">
        <v>1</v>
      </c>
      <c r="C138">
        <v>1</v>
      </c>
      <c r="D138">
        <v>1</v>
      </c>
    </row>
    <row r="139" spans="1:11" x14ac:dyDescent="0.35">
      <c r="A139" t="s">
        <v>164</v>
      </c>
      <c r="B139">
        <v>1</v>
      </c>
      <c r="C139">
        <v>1</v>
      </c>
      <c r="D139">
        <v>1</v>
      </c>
    </row>
    <row r="142" spans="1:11" x14ac:dyDescent="0.35">
      <c r="A142" t="s">
        <v>377</v>
      </c>
    </row>
    <row r="143" spans="1:11" x14ac:dyDescent="0.35">
      <c r="B143" t="s">
        <v>166</v>
      </c>
      <c r="C143" t="s">
        <v>169</v>
      </c>
      <c r="D143" t="s">
        <v>171</v>
      </c>
      <c r="E143" t="s">
        <v>173</v>
      </c>
      <c r="F143" t="s">
        <v>174</v>
      </c>
      <c r="G143" t="s">
        <v>176</v>
      </c>
      <c r="H143" t="s">
        <v>177</v>
      </c>
      <c r="I143" t="s">
        <v>179</v>
      </c>
      <c r="J143" t="s">
        <v>180</v>
      </c>
      <c r="K143" t="s">
        <v>182</v>
      </c>
    </row>
    <row r="144" spans="1:11" x14ac:dyDescent="0.35">
      <c r="A144" t="s">
        <v>166</v>
      </c>
      <c r="B144">
        <v>1</v>
      </c>
      <c r="C144">
        <v>0.5</v>
      </c>
      <c r="D144">
        <v>1</v>
      </c>
      <c r="E144">
        <v>0.40000000000000008</v>
      </c>
      <c r="F144">
        <v>1</v>
      </c>
      <c r="G144">
        <v>0.40000000000000008</v>
      </c>
      <c r="H144">
        <v>1</v>
      </c>
      <c r="I144">
        <v>0.40000000000000008</v>
      </c>
      <c r="J144">
        <v>1</v>
      </c>
      <c r="K144">
        <v>0.40000000000000008</v>
      </c>
    </row>
    <row r="145" spans="1:11" x14ac:dyDescent="0.35">
      <c r="A145" t="s">
        <v>169</v>
      </c>
      <c r="B145">
        <v>0.5</v>
      </c>
      <c r="C145">
        <v>1</v>
      </c>
      <c r="D145">
        <v>0.40000000000000008</v>
      </c>
      <c r="E145">
        <v>1</v>
      </c>
      <c r="F145">
        <v>0.40000000000000008</v>
      </c>
      <c r="G145">
        <v>1</v>
      </c>
      <c r="H145">
        <v>0.40000000000000008</v>
      </c>
      <c r="I145">
        <v>1</v>
      </c>
      <c r="J145">
        <v>0.40000000000000008</v>
      </c>
      <c r="K145">
        <v>1</v>
      </c>
    </row>
    <row r="146" spans="1:11" x14ac:dyDescent="0.35">
      <c r="A146" t="s">
        <v>171</v>
      </c>
      <c r="B146">
        <v>1</v>
      </c>
      <c r="C146">
        <v>0.40000000000000008</v>
      </c>
      <c r="D146">
        <v>1</v>
      </c>
      <c r="E146">
        <v>0.5</v>
      </c>
      <c r="F146">
        <v>1</v>
      </c>
      <c r="G146">
        <v>0.40000000000000008</v>
      </c>
      <c r="H146">
        <v>1</v>
      </c>
      <c r="I146">
        <v>0.40000000000000008</v>
      </c>
      <c r="J146">
        <v>1</v>
      </c>
      <c r="K146">
        <v>0.40000000000000008</v>
      </c>
    </row>
    <row r="147" spans="1:11" x14ac:dyDescent="0.35">
      <c r="A147" t="s">
        <v>173</v>
      </c>
      <c r="B147">
        <v>0.40000000000000008</v>
      </c>
      <c r="C147">
        <v>1</v>
      </c>
      <c r="D147">
        <v>0.5</v>
      </c>
      <c r="E147">
        <v>1</v>
      </c>
      <c r="F147">
        <v>0.40000000000000008</v>
      </c>
      <c r="G147">
        <v>1</v>
      </c>
      <c r="H147">
        <v>0.40000000000000008</v>
      </c>
      <c r="I147">
        <v>1</v>
      </c>
      <c r="J147">
        <v>0.40000000000000008</v>
      </c>
      <c r="K147">
        <v>1</v>
      </c>
    </row>
    <row r="148" spans="1:11" x14ac:dyDescent="0.35">
      <c r="A148" t="s">
        <v>174</v>
      </c>
      <c r="B148">
        <v>1</v>
      </c>
      <c r="C148">
        <v>0.40000000000000008</v>
      </c>
      <c r="D148">
        <v>1</v>
      </c>
      <c r="E148">
        <v>0.40000000000000008</v>
      </c>
      <c r="F148">
        <v>1</v>
      </c>
      <c r="G148">
        <v>0.5</v>
      </c>
      <c r="H148">
        <v>1</v>
      </c>
      <c r="I148">
        <v>0.40000000000000008</v>
      </c>
      <c r="J148">
        <v>1</v>
      </c>
      <c r="K148">
        <v>0.40000000000000008</v>
      </c>
    </row>
    <row r="149" spans="1:11" x14ac:dyDescent="0.35">
      <c r="A149" t="s">
        <v>176</v>
      </c>
      <c r="B149">
        <v>0.40000000000000008</v>
      </c>
      <c r="C149">
        <v>1</v>
      </c>
      <c r="D149">
        <v>0.40000000000000008</v>
      </c>
      <c r="E149">
        <v>1</v>
      </c>
      <c r="F149">
        <v>0.5</v>
      </c>
      <c r="G149">
        <v>1</v>
      </c>
      <c r="H149">
        <v>0.40000000000000008</v>
      </c>
      <c r="I149">
        <v>1</v>
      </c>
      <c r="J149">
        <v>0.40000000000000008</v>
      </c>
      <c r="K149">
        <v>1</v>
      </c>
    </row>
    <row r="150" spans="1:11" x14ac:dyDescent="0.35">
      <c r="A150" t="s">
        <v>177</v>
      </c>
      <c r="B150">
        <v>1</v>
      </c>
      <c r="C150">
        <v>0.40000000000000008</v>
      </c>
      <c r="D150">
        <v>1</v>
      </c>
      <c r="E150">
        <v>0.40000000000000008</v>
      </c>
      <c r="F150">
        <v>1</v>
      </c>
      <c r="G150">
        <v>0.40000000000000008</v>
      </c>
      <c r="H150">
        <v>1</v>
      </c>
      <c r="I150">
        <v>0.5</v>
      </c>
      <c r="J150">
        <v>1</v>
      </c>
      <c r="K150">
        <v>0.40000000000000008</v>
      </c>
    </row>
    <row r="151" spans="1:11" x14ac:dyDescent="0.35">
      <c r="A151" t="s">
        <v>179</v>
      </c>
      <c r="B151">
        <v>0.40000000000000008</v>
      </c>
      <c r="C151">
        <v>1</v>
      </c>
      <c r="D151">
        <v>0.40000000000000008</v>
      </c>
      <c r="E151">
        <v>1</v>
      </c>
      <c r="F151">
        <v>0.40000000000000008</v>
      </c>
      <c r="G151">
        <v>1</v>
      </c>
      <c r="H151">
        <v>0.5</v>
      </c>
      <c r="I151">
        <v>1</v>
      </c>
      <c r="J151">
        <v>0.40000000000000008</v>
      </c>
      <c r="K151">
        <v>1</v>
      </c>
    </row>
    <row r="152" spans="1:11" x14ac:dyDescent="0.35">
      <c r="A152" t="s">
        <v>180</v>
      </c>
      <c r="B152">
        <v>1</v>
      </c>
      <c r="C152">
        <v>0.40000000000000008</v>
      </c>
      <c r="D152">
        <v>1</v>
      </c>
      <c r="E152">
        <v>0.40000000000000008</v>
      </c>
      <c r="F152">
        <v>1</v>
      </c>
      <c r="G152">
        <v>0.40000000000000008</v>
      </c>
      <c r="H152">
        <v>1</v>
      </c>
      <c r="I152">
        <v>0.40000000000000008</v>
      </c>
      <c r="J152">
        <v>1</v>
      </c>
      <c r="K152">
        <v>0.5</v>
      </c>
    </row>
    <row r="153" spans="1:11" x14ac:dyDescent="0.35">
      <c r="A153" t="s">
        <v>182</v>
      </c>
      <c r="B153">
        <v>0.40000000000000008</v>
      </c>
      <c r="C153">
        <v>1</v>
      </c>
      <c r="D153">
        <v>0.40000000000000008</v>
      </c>
      <c r="E153">
        <v>1</v>
      </c>
      <c r="F153">
        <v>0.40000000000000008</v>
      </c>
      <c r="G153">
        <v>1</v>
      </c>
      <c r="H153">
        <v>0.40000000000000008</v>
      </c>
      <c r="I153">
        <v>1</v>
      </c>
      <c r="J153">
        <v>0.5</v>
      </c>
      <c r="K153">
        <v>1</v>
      </c>
    </row>
    <row r="156" spans="1:11" x14ac:dyDescent="0.35">
      <c r="A156" t="s">
        <v>378</v>
      </c>
    </row>
    <row r="157" spans="1:11" x14ac:dyDescent="0.35">
      <c r="B157" t="s">
        <v>183</v>
      </c>
      <c r="C157" t="s">
        <v>186</v>
      </c>
      <c r="D157" t="s">
        <v>188</v>
      </c>
      <c r="E157" t="s">
        <v>190</v>
      </c>
      <c r="F157" t="s">
        <v>191</v>
      </c>
      <c r="G157" t="s">
        <v>193</v>
      </c>
    </row>
    <row r="158" spans="1:11" x14ac:dyDescent="0.35">
      <c r="A158" t="s">
        <v>183</v>
      </c>
      <c r="B158">
        <v>1</v>
      </c>
      <c r="C158">
        <v>0.5</v>
      </c>
      <c r="D158">
        <v>1</v>
      </c>
      <c r="E158">
        <v>0.40000000000000008</v>
      </c>
      <c r="F158">
        <v>0.40000000000000008</v>
      </c>
      <c r="G158">
        <v>0.40000000000000008</v>
      </c>
    </row>
    <row r="159" spans="1:11" x14ac:dyDescent="0.35">
      <c r="A159" t="s">
        <v>186</v>
      </c>
      <c r="B159">
        <v>0.5</v>
      </c>
      <c r="C159">
        <v>1</v>
      </c>
      <c r="D159">
        <v>0.40000000000000008</v>
      </c>
      <c r="E159">
        <v>1</v>
      </c>
      <c r="F159">
        <v>1</v>
      </c>
      <c r="G159">
        <v>1</v>
      </c>
    </row>
    <row r="160" spans="1:11" x14ac:dyDescent="0.35">
      <c r="A160" t="s">
        <v>188</v>
      </c>
      <c r="B160">
        <v>1</v>
      </c>
      <c r="C160">
        <v>0.40000000000000008</v>
      </c>
      <c r="D160">
        <v>1</v>
      </c>
      <c r="E160">
        <v>0.5</v>
      </c>
      <c r="F160">
        <v>0.40000000000000008</v>
      </c>
      <c r="G160">
        <v>0.40000000000000008</v>
      </c>
    </row>
    <row r="161" spans="1:7" x14ac:dyDescent="0.35">
      <c r="A161" t="s">
        <v>190</v>
      </c>
      <c r="B161">
        <v>0.40000000000000008</v>
      </c>
      <c r="C161">
        <v>1</v>
      </c>
      <c r="D161">
        <v>0.5</v>
      </c>
      <c r="E161">
        <v>1</v>
      </c>
      <c r="F161">
        <v>1</v>
      </c>
      <c r="G161">
        <v>1</v>
      </c>
    </row>
    <row r="162" spans="1:7" x14ac:dyDescent="0.35">
      <c r="A162" t="s">
        <v>191</v>
      </c>
      <c r="B162">
        <v>0.40000000000000008</v>
      </c>
      <c r="C162">
        <v>1</v>
      </c>
      <c r="D162">
        <v>0.40000000000000008</v>
      </c>
      <c r="E162">
        <v>1</v>
      </c>
      <c r="F162">
        <v>1</v>
      </c>
      <c r="G162">
        <v>1</v>
      </c>
    </row>
    <row r="163" spans="1:7" x14ac:dyDescent="0.35">
      <c r="A163" t="s">
        <v>193</v>
      </c>
      <c r="B163">
        <v>0.40000000000000008</v>
      </c>
      <c r="C163">
        <v>1</v>
      </c>
      <c r="D163">
        <v>0.40000000000000008</v>
      </c>
      <c r="E163">
        <v>1</v>
      </c>
      <c r="F163">
        <v>1</v>
      </c>
      <c r="G163">
        <v>1</v>
      </c>
    </row>
    <row r="166" spans="1:7" x14ac:dyDescent="0.35">
      <c r="A166" t="s">
        <v>379</v>
      </c>
    </row>
    <row r="167" spans="1:7" x14ac:dyDescent="0.35">
      <c r="B167" t="s">
        <v>195</v>
      </c>
      <c r="C167" t="s">
        <v>198</v>
      </c>
      <c r="D167" t="s">
        <v>200</v>
      </c>
      <c r="E167" t="s">
        <v>202</v>
      </c>
    </row>
    <row r="168" spans="1:7" x14ac:dyDescent="0.35">
      <c r="A168" t="s">
        <v>195</v>
      </c>
      <c r="B168">
        <v>1</v>
      </c>
      <c r="C168">
        <v>1</v>
      </c>
      <c r="D168">
        <v>1</v>
      </c>
      <c r="E168">
        <v>1</v>
      </c>
    </row>
    <row r="169" spans="1:7" x14ac:dyDescent="0.35">
      <c r="A169" t="s">
        <v>198</v>
      </c>
      <c r="B169">
        <v>1</v>
      </c>
      <c r="C169">
        <v>1</v>
      </c>
      <c r="D169">
        <v>1</v>
      </c>
      <c r="E169">
        <v>1</v>
      </c>
    </row>
    <row r="170" spans="1:7" x14ac:dyDescent="0.35">
      <c r="A170" t="s">
        <v>200</v>
      </c>
      <c r="B170">
        <v>1</v>
      </c>
      <c r="C170">
        <v>1</v>
      </c>
      <c r="D170">
        <v>1</v>
      </c>
      <c r="E170">
        <v>1</v>
      </c>
    </row>
    <row r="171" spans="1:7" x14ac:dyDescent="0.35">
      <c r="A171" t="s">
        <v>202</v>
      </c>
      <c r="B171">
        <v>1</v>
      </c>
      <c r="C171">
        <v>1</v>
      </c>
      <c r="D171">
        <v>1</v>
      </c>
      <c r="E171">
        <v>1</v>
      </c>
    </row>
    <row r="174" spans="1:7" x14ac:dyDescent="0.35">
      <c r="A174" t="s">
        <v>380</v>
      </c>
    </row>
    <row r="175" spans="1:7" x14ac:dyDescent="0.35">
      <c r="B175" t="s">
        <v>204</v>
      </c>
      <c r="C175" t="s">
        <v>207</v>
      </c>
      <c r="D175" t="s">
        <v>209</v>
      </c>
      <c r="E175" t="s">
        <v>211</v>
      </c>
    </row>
    <row r="176" spans="1:7" x14ac:dyDescent="0.35">
      <c r="A176" t="s">
        <v>204</v>
      </c>
      <c r="B176">
        <v>1</v>
      </c>
      <c r="C176">
        <v>1</v>
      </c>
      <c r="D176">
        <v>1</v>
      </c>
      <c r="E176">
        <v>1</v>
      </c>
    </row>
    <row r="177" spans="1:7" x14ac:dyDescent="0.35">
      <c r="A177" t="s">
        <v>207</v>
      </c>
      <c r="B177">
        <v>1</v>
      </c>
      <c r="C177">
        <v>1</v>
      </c>
      <c r="D177">
        <v>1</v>
      </c>
      <c r="E177">
        <v>1</v>
      </c>
    </row>
    <row r="178" spans="1:7" x14ac:dyDescent="0.35">
      <c r="A178" t="s">
        <v>209</v>
      </c>
      <c r="B178">
        <v>1</v>
      </c>
      <c r="C178">
        <v>1</v>
      </c>
      <c r="D178">
        <v>1</v>
      </c>
      <c r="E178">
        <v>1</v>
      </c>
    </row>
    <row r="179" spans="1:7" x14ac:dyDescent="0.35">
      <c r="A179" t="s">
        <v>211</v>
      </c>
      <c r="B179">
        <v>1</v>
      </c>
      <c r="C179">
        <v>1</v>
      </c>
      <c r="D179">
        <v>1</v>
      </c>
      <c r="E179">
        <v>1</v>
      </c>
    </row>
    <row r="182" spans="1:7" x14ac:dyDescent="0.35">
      <c r="A182" t="s">
        <v>381</v>
      </c>
    </row>
    <row r="183" spans="1:7" x14ac:dyDescent="0.35">
      <c r="B183" t="s">
        <v>213</v>
      </c>
      <c r="C183" t="s">
        <v>216</v>
      </c>
      <c r="D183" t="s">
        <v>218</v>
      </c>
      <c r="E183" t="s">
        <v>220</v>
      </c>
      <c r="F183" t="s">
        <v>221</v>
      </c>
      <c r="G183" t="s">
        <v>223</v>
      </c>
    </row>
    <row r="184" spans="1:7" x14ac:dyDescent="0.35">
      <c r="A184" t="s">
        <v>213</v>
      </c>
      <c r="B184">
        <v>1</v>
      </c>
      <c r="C184">
        <v>0.5</v>
      </c>
      <c r="D184">
        <v>1</v>
      </c>
      <c r="E184">
        <v>0.40000000000000008</v>
      </c>
      <c r="F184">
        <v>1</v>
      </c>
      <c r="G184">
        <v>0.40000000000000008</v>
      </c>
    </row>
    <row r="185" spans="1:7" x14ac:dyDescent="0.35">
      <c r="A185" t="s">
        <v>216</v>
      </c>
      <c r="B185">
        <v>0.5</v>
      </c>
      <c r="C185">
        <v>1</v>
      </c>
      <c r="D185">
        <v>0.40000000000000008</v>
      </c>
      <c r="E185">
        <v>1</v>
      </c>
      <c r="F185">
        <v>0.40000000000000008</v>
      </c>
      <c r="G185">
        <v>1</v>
      </c>
    </row>
    <row r="186" spans="1:7" x14ac:dyDescent="0.35">
      <c r="A186" t="s">
        <v>218</v>
      </c>
      <c r="B186">
        <v>1</v>
      </c>
      <c r="C186">
        <v>0.40000000000000008</v>
      </c>
      <c r="D186">
        <v>1</v>
      </c>
      <c r="E186">
        <v>0.5</v>
      </c>
      <c r="F186">
        <v>1</v>
      </c>
      <c r="G186">
        <v>0.40000000000000008</v>
      </c>
    </row>
    <row r="187" spans="1:7" x14ac:dyDescent="0.35">
      <c r="A187" t="s">
        <v>220</v>
      </c>
      <c r="B187">
        <v>0.40000000000000008</v>
      </c>
      <c r="C187">
        <v>1</v>
      </c>
      <c r="D187">
        <v>0.5</v>
      </c>
      <c r="E187">
        <v>1</v>
      </c>
      <c r="F187">
        <v>0.40000000000000008</v>
      </c>
      <c r="G187">
        <v>1</v>
      </c>
    </row>
    <row r="188" spans="1:7" x14ac:dyDescent="0.35">
      <c r="A188" t="s">
        <v>221</v>
      </c>
      <c r="B188">
        <v>1</v>
      </c>
      <c r="C188">
        <v>0.40000000000000008</v>
      </c>
      <c r="D188">
        <v>1</v>
      </c>
      <c r="E188">
        <v>0.40000000000000008</v>
      </c>
      <c r="F188">
        <v>1</v>
      </c>
      <c r="G188">
        <v>0.5</v>
      </c>
    </row>
    <row r="189" spans="1:7" x14ac:dyDescent="0.35">
      <c r="A189" t="s">
        <v>223</v>
      </c>
      <c r="B189">
        <v>0.40000000000000008</v>
      </c>
      <c r="C189">
        <v>1</v>
      </c>
      <c r="D189">
        <v>0.40000000000000008</v>
      </c>
      <c r="E189">
        <v>1</v>
      </c>
      <c r="F189">
        <v>0.5</v>
      </c>
      <c r="G189">
        <v>1</v>
      </c>
    </row>
    <row r="192" spans="1:7" x14ac:dyDescent="0.35">
      <c r="A192" t="s">
        <v>382</v>
      </c>
    </row>
    <row r="193" spans="1:9" x14ac:dyDescent="0.35">
      <c r="B193" t="s">
        <v>224</v>
      </c>
      <c r="C193" t="s">
        <v>227</v>
      </c>
      <c r="D193" t="s">
        <v>229</v>
      </c>
      <c r="E193" t="s">
        <v>231</v>
      </c>
      <c r="F193" t="s">
        <v>233</v>
      </c>
    </row>
    <row r="194" spans="1:9" x14ac:dyDescent="0.35">
      <c r="A194" t="s">
        <v>224</v>
      </c>
      <c r="B194">
        <v>1</v>
      </c>
      <c r="C194">
        <v>1</v>
      </c>
      <c r="D194">
        <v>1</v>
      </c>
      <c r="E194">
        <v>1</v>
      </c>
      <c r="F194">
        <v>1</v>
      </c>
    </row>
    <row r="195" spans="1:9" x14ac:dyDescent="0.35">
      <c r="A195" t="s">
        <v>227</v>
      </c>
      <c r="B195">
        <v>1</v>
      </c>
      <c r="C195">
        <v>1</v>
      </c>
      <c r="D195">
        <v>1</v>
      </c>
      <c r="E195">
        <v>1</v>
      </c>
      <c r="F195">
        <v>1</v>
      </c>
    </row>
    <row r="196" spans="1:9" x14ac:dyDescent="0.35">
      <c r="A196" t="s">
        <v>229</v>
      </c>
      <c r="B196">
        <v>1</v>
      </c>
      <c r="C196">
        <v>1</v>
      </c>
      <c r="D196">
        <v>1</v>
      </c>
      <c r="E196">
        <v>1</v>
      </c>
      <c r="F196">
        <v>1</v>
      </c>
    </row>
    <row r="197" spans="1:9" x14ac:dyDescent="0.35">
      <c r="A197" t="s">
        <v>231</v>
      </c>
      <c r="B197">
        <v>1</v>
      </c>
      <c r="C197">
        <v>1</v>
      </c>
      <c r="D197">
        <v>1</v>
      </c>
      <c r="E197">
        <v>1</v>
      </c>
      <c r="F197">
        <v>1</v>
      </c>
    </row>
    <row r="198" spans="1:9" x14ac:dyDescent="0.35">
      <c r="A198" t="s">
        <v>233</v>
      </c>
      <c r="B198">
        <v>1</v>
      </c>
      <c r="C198">
        <v>1</v>
      </c>
      <c r="D198">
        <v>1</v>
      </c>
      <c r="E198">
        <v>1</v>
      </c>
      <c r="F198">
        <v>1</v>
      </c>
    </row>
    <row r="201" spans="1:9" x14ac:dyDescent="0.35">
      <c r="A201" t="s">
        <v>383</v>
      </c>
    </row>
    <row r="202" spans="1:9" x14ac:dyDescent="0.35">
      <c r="B202" t="s">
        <v>235</v>
      </c>
      <c r="C202" t="s">
        <v>238</v>
      </c>
      <c r="D202" t="s">
        <v>240</v>
      </c>
      <c r="E202" t="s">
        <v>242</v>
      </c>
      <c r="F202" t="s">
        <v>243</v>
      </c>
      <c r="G202" t="s">
        <v>245</v>
      </c>
      <c r="H202" t="s">
        <v>246</v>
      </c>
      <c r="I202" t="s">
        <v>248</v>
      </c>
    </row>
    <row r="203" spans="1:9" x14ac:dyDescent="0.35">
      <c r="A203" t="s">
        <v>235</v>
      </c>
      <c r="B203">
        <v>1</v>
      </c>
      <c r="C203">
        <v>0.5</v>
      </c>
      <c r="D203">
        <v>1</v>
      </c>
      <c r="E203">
        <v>0.40000000000000008</v>
      </c>
      <c r="F203">
        <v>1</v>
      </c>
      <c r="G203">
        <v>0.40000000000000008</v>
      </c>
      <c r="H203">
        <v>1</v>
      </c>
      <c r="I203">
        <v>0.40000000000000008</v>
      </c>
    </row>
    <row r="204" spans="1:9" x14ac:dyDescent="0.35">
      <c r="A204" t="s">
        <v>238</v>
      </c>
      <c r="B204">
        <v>0.5</v>
      </c>
      <c r="C204">
        <v>1</v>
      </c>
      <c r="D204">
        <v>0.40000000000000008</v>
      </c>
      <c r="E204">
        <v>1</v>
      </c>
      <c r="F204">
        <v>0.40000000000000008</v>
      </c>
      <c r="G204">
        <v>1</v>
      </c>
      <c r="H204">
        <v>0.40000000000000008</v>
      </c>
      <c r="I204">
        <v>1</v>
      </c>
    </row>
    <row r="205" spans="1:9" x14ac:dyDescent="0.35">
      <c r="A205" t="s">
        <v>240</v>
      </c>
      <c r="B205">
        <v>1</v>
      </c>
      <c r="C205">
        <v>0.40000000000000008</v>
      </c>
      <c r="D205">
        <v>1</v>
      </c>
      <c r="E205">
        <v>0.5</v>
      </c>
      <c r="F205">
        <v>1</v>
      </c>
      <c r="G205">
        <v>0.40000000000000008</v>
      </c>
      <c r="H205">
        <v>1</v>
      </c>
      <c r="I205">
        <v>0.40000000000000008</v>
      </c>
    </row>
    <row r="206" spans="1:9" x14ac:dyDescent="0.35">
      <c r="A206" t="s">
        <v>242</v>
      </c>
      <c r="B206">
        <v>0.40000000000000008</v>
      </c>
      <c r="C206">
        <v>1</v>
      </c>
      <c r="D206">
        <v>0.5</v>
      </c>
      <c r="E206">
        <v>1</v>
      </c>
      <c r="F206">
        <v>0.40000000000000008</v>
      </c>
      <c r="G206">
        <v>1</v>
      </c>
      <c r="H206">
        <v>0.40000000000000008</v>
      </c>
      <c r="I206">
        <v>1</v>
      </c>
    </row>
    <row r="207" spans="1:9" x14ac:dyDescent="0.35">
      <c r="A207" t="s">
        <v>243</v>
      </c>
      <c r="B207">
        <v>1</v>
      </c>
      <c r="C207">
        <v>0.40000000000000008</v>
      </c>
      <c r="D207">
        <v>1</v>
      </c>
      <c r="E207">
        <v>0.40000000000000008</v>
      </c>
      <c r="F207">
        <v>1</v>
      </c>
      <c r="G207">
        <v>0.5</v>
      </c>
      <c r="H207">
        <v>1</v>
      </c>
      <c r="I207">
        <v>0.40000000000000008</v>
      </c>
    </row>
    <row r="208" spans="1:9" x14ac:dyDescent="0.35">
      <c r="A208" t="s">
        <v>245</v>
      </c>
      <c r="B208">
        <v>0.40000000000000008</v>
      </c>
      <c r="C208">
        <v>1</v>
      </c>
      <c r="D208">
        <v>0.40000000000000008</v>
      </c>
      <c r="E208">
        <v>1</v>
      </c>
      <c r="F208">
        <v>0.5</v>
      </c>
      <c r="G208">
        <v>1</v>
      </c>
      <c r="H208">
        <v>0.40000000000000008</v>
      </c>
      <c r="I208">
        <v>1</v>
      </c>
    </row>
    <row r="209" spans="1:9" x14ac:dyDescent="0.35">
      <c r="A209" t="s">
        <v>246</v>
      </c>
      <c r="B209">
        <v>1</v>
      </c>
      <c r="C209">
        <v>0.40000000000000008</v>
      </c>
      <c r="D209">
        <v>1</v>
      </c>
      <c r="E209">
        <v>0.40000000000000008</v>
      </c>
      <c r="F209">
        <v>1</v>
      </c>
      <c r="G209">
        <v>0.40000000000000008</v>
      </c>
      <c r="H209">
        <v>1</v>
      </c>
      <c r="I209">
        <v>0.5</v>
      </c>
    </row>
    <row r="210" spans="1:9" x14ac:dyDescent="0.35">
      <c r="A210" t="s">
        <v>248</v>
      </c>
      <c r="B210">
        <v>0.40000000000000008</v>
      </c>
      <c r="C210">
        <v>1</v>
      </c>
      <c r="D210">
        <v>0.40000000000000008</v>
      </c>
      <c r="E210">
        <v>1</v>
      </c>
      <c r="F210">
        <v>0.40000000000000008</v>
      </c>
      <c r="G210">
        <v>1</v>
      </c>
      <c r="H210">
        <v>0.5</v>
      </c>
      <c r="I210">
        <v>1</v>
      </c>
    </row>
    <row r="213" spans="1:9" x14ac:dyDescent="0.35">
      <c r="A213" t="s">
        <v>384</v>
      </c>
    </row>
    <row r="214" spans="1:9" x14ac:dyDescent="0.35">
      <c r="B214" t="s">
        <v>249</v>
      </c>
      <c r="C214" t="s">
        <v>252</v>
      </c>
      <c r="D214" t="s">
        <v>254</v>
      </c>
      <c r="E214" t="s">
        <v>256</v>
      </c>
    </row>
    <row r="215" spans="1:9" x14ac:dyDescent="0.35">
      <c r="A215" t="s">
        <v>249</v>
      </c>
      <c r="B215">
        <v>1</v>
      </c>
      <c r="C215">
        <v>1</v>
      </c>
      <c r="D215">
        <v>1</v>
      </c>
      <c r="E215">
        <v>1</v>
      </c>
    </row>
    <row r="216" spans="1:9" x14ac:dyDescent="0.35">
      <c r="A216" t="s">
        <v>252</v>
      </c>
      <c r="B216">
        <v>1</v>
      </c>
      <c r="C216">
        <v>1</v>
      </c>
      <c r="D216">
        <v>1</v>
      </c>
      <c r="E216">
        <v>1</v>
      </c>
    </row>
    <row r="217" spans="1:9" x14ac:dyDescent="0.35">
      <c r="A217" t="s">
        <v>254</v>
      </c>
      <c r="B217">
        <v>1</v>
      </c>
      <c r="C217">
        <v>1</v>
      </c>
      <c r="D217">
        <v>1</v>
      </c>
      <c r="E217">
        <v>1</v>
      </c>
    </row>
    <row r="218" spans="1:9" x14ac:dyDescent="0.35">
      <c r="A218" t="s">
        <v>256</v>
      </c>
      <c r="B218">
        <v>1</v>
      </c>
      <c r="C218">
        <v>1</v>
      </c>
      <c r="D218">
        <v>1</v>
      </c>
      <c r="E218">
        <v>1</v>
      </c>
    </row>
    <row r="221" spans="1:9" x14ac:dyDescent="0.35">
      <c r="A221" t="s">
        <v>385</v>
      </c>
    </row>
    <row r="222" spans="1:9" x14ac:dyDescent="0.35">
      <c r="B222" t="s">
        <v>258</v>
      </c>
      <c r="C222" t="s">
        <v>261</v>
      </c>
      <c r="D222" t="s">
        <v>263</v>
      </c>
      <c r="E222" t="s">
        <v>265</v>
      </c>
      <c r="F222" t="s">
        <v>266</v>
      </c>
      <c r="G222" t="s">
        <v>268</v>
      </c>
      <c r="H222" t="s">
        <v>269</v>
      </c>
      <c r="I222" t="s">
        <v>271</v>
      </c>
    </row>
    <row r="223" spans="1:9" x14ac:dyDescent="0.35">
      <c r="A223" t="s">
        <v>258</v>
      </c>
      <c r="B223">
        <v>1</v>
      </c>
      <c r="C223">
        <v>0.5</v>
      </c>
      <c r="D223">
        <v>1</v>
      </c>
      <c r="E223">
        <v>0.40000000000000008</v>
      </c>
      <c r="F223">
        <v>1</v>
      </c>
      <c r="G223">
        <v>0.40000000000000008</v>
      </c>
      <c r="H223">
        <v>1</v>
      </c>
      <c r="I223">
        <v>0.40000000000000008</v>
      </c>
    </row>
    <row r="224" spans="1:9" x14ac:dyDescent="0.35">
      <c r="A224" t="s">
        <v>261</v>
      </c>
      <c r="B224">
        <v>0.5</v>
      </c>
      <c r="C224">
        <v>1</v>
      </c>
      <c r="D224">
        <v>0.40000000000000008</v>
      </c>
      <c r="E224">
        <v>1</v>
      </c>
      <c r="F224">
        <v>0.40000000000000008</v>
      </c>
      <c r="G224">
        <v>1</v>
      </c>
      <c r="H224">
        <v>0.40000000000000008</v>
      </c>
      <c r="I224">
        <v>1</v>
      </c>
    </row>
    <row r="225" spans="1:9" x14ac:dyDescent="0.35">
      <c r="A225" t="s">
        <v>263</v>
      </c>
      <c r="B225">
        <v>1</v>
      </c>
      <c r="C225">
        <v>0.40000000000000008</v>
      </c>
      <c r="D225">
        <v>1</v>
      </c>
      <c r="E225">
        <v>0.5</v>
      </c>
      <c r="F225">
        <v>1</v>
      </c>
      <c r="G225">
        <v>0.40000000000000008</v>
      </c>
      <c r="H225">
        <v>1</v>
      </c>
      <c r="I225">
        <v>0.40000000000000008</v>
      </c>
    </row>
    <row r="226" spans="1:9" x14ac:dyDescent="0.35">
      <c r="A226" t="s">
        <v>265</v>
      </c>
      <c r="B226">
        <v>0.40000000000000008</v>
      </c>
      <c r="C226">
        <v>1</v>
      </c>
      <c r="D226">
        <v>0.5</v>
      </c>
      <c r="E226">
        <v>1</v>
      </c>
      <c r="F226">
        <v>0.40000000000000008</v>
      </c>
      <c r="G226">
        <v>1</v>
      </c>
      <c r="H226">
        <v>0.40000000000000008</v>
      </c>
      <c r="I226">
        <v>1</v>
      </c>
    </row>
    <row r="227" spans="1:9" x14ac:dyDescent="0.35">
      <c r="A227" t="s">
        <v>266</v>
      </c>
      <c r="B227">
        <v>1</v>
      </c>
      <c r="C227">
        <v>0.40000000000000008</v>
      </c>
      <c r="D227">
        <v>1</v>
      </c>
      <c r="E227">
        <v>0.40000000000000008</v>
      </c>
      <c r="F227">
        <v>1</v>
      </c>
      <c r="G227">
        <v>0.5</v>
      </c>
      <c r="H227">
        <v>1</v>
      </c>
      <c r="I227">
        <v>0.40000000000000008</v>
      </c>
    </row>
    <row r="228" spans="1:9" x14ac:dyDescent="0.35">
      <c r="A228" t="s">
        <v>268</v>
      </c>
      <c r="B228">
        <v>0.40000000000000008</v>
      </c>
      <c r="C228">
        <v>1</v>
      </c>
      <c r="D228">
        <v>0.40000000000000008</v>
      </c>
      <c r="E228">
        <v>1</v>
      </c>
      <c r="F228">
        <v>0.5</v>
      </c>
      <c r="G228">
        <v>1</v>
      </c>
      <c r="H228">
        <v>0.40000000000000008</v>
      </c>
      <c r="I228">
        <v>1</v>
      </c>
    </row>
    <row r="229" spans="1:9" x14ac:dyDescent="0.35">
      <c r="A229" t="s">
        <v>269</v>
      </c>
      <c r="B229">
        <v>1</v>
      </c>
      <c r="C229">
        <v>0.40000000000000008</v>
      </c>
      <c r="D229">
        <v>1</v>
      </c>
      <c r="E229">
        <v>0.40000000000000008</v>
      </c>
      <c r="F229">
        <v>1</v>
      </c>
      <c r="G229">
        <v>0.40000000000000008</v>
      </c>
      <c r="H229">
        <v>1</v>
      </c>
      <c r="I229">
        <v>0.5</v>
      </c>
    </row>
    <row r="230" spans="1:9" x14ac:dyDescent="0.35">
      <c r="A230" t="s">
        <v>271</v>
      </c>
      <c r="B230">
        <v>0.40000000000000008</v>
      </c>
      <c r="C230">
        <v>1</v>
      </c>
      <c r="D230">
        <v>0.40000000000000008</v>
      </c>
      <c r="E230">
        <v>1</v>
      </c>
      <c r="F230">
        <v>0.40000000000000008</v>
      </c>
      <c r="G230">
        <v>1</v>
      </c>
      <c r="H230">
        <v>0.5</v>
      </c>
      <c r="I230">
        <v>1</v>
      </c>
    </row>
    <row r="233" spans="1:9" x14ac:dyDescent="0.35">
      <c r="A233" t="s">
        <v>386</v>
      </c>
    </row>
    <row r="234" spans="1:9" x14ac:dyDescent="0.35">
      <c r="B234" t="s">
        <v>277</v>
      </c>
      <c r="C234" t="s">
        <v>279</v>
      </c>
      <c r="D234" t="s">
        <v>281</v>
      </c>
      <c r="E234" t="s">
        <v>283</v>
      </c>
      <c r="F234" t="s">
        <v>285</v>
      </c>
      <c r="G234" t="s">
        <v>287</v>
      </c>
      <c r="H234" t="s">
        <v>289</v>
      </c>
      <c r="I234" t="s">
        <v>291</v>
      </c>
    </row>
    <row r="235" spans="1:9" x14ac:dyDescent="0.35">
      <c r="A235" t="s">
        <v>277</v>
      </c>
      <c r="B235">
        <v>1</v>
      </c>
      <c r="C235">
        <v>0.3125</v>
      </c>
      <c r="D235">
        <v>0.3125</v>
      </c>
      <c r="E235">
        <v>0.3125</v>
      </c>
      <c r="F235">
        <v>0.3125</v>
      </c>
      <c r="G235">
        <v>0.3125</v>
      </c>
      <c r="H235">
        <v>0.3125</v>
      </c>
      <c r="I235">
        <v>0.3125</v>
      </c>
    </row>
    <row r="236" spans="1:9" x14ac:dyDescent="0.35">
      <c r="A236" t="s">
        <v>279</v>
      </c>
      <c r="B236">
        <v>0.3125</v>
      </c>
      <c r="C236">
        <v>1</v>
      </c>
      <c r="D236">
        <v>0.3125</v>
      </c>
      <c r="E236">
        <v>0.3125</v>
      </c>
      <c r="F236">
        <v>0.3125</v>
      </c>
      <c r="G236">
        <v>0.3125</v>
      </c>
      <c r="H236">
        <v>0.3125</v>
      </c>
      <c r="I236">
        <v>0.3125</v>
      </c>
    </row>
    <row r="237" spans="1:9" x14ac:dyDescent="0.35">
      <c r="A237" t="s">
        <v>281</v>
      </c>
      <c r="B237">
        <v>0.3125</v>
      </c>
      <c r="C237">
        <v>0.3125</v>
      </c>
      <c r="D237">
        <v>1</v>
      </c>
      <c r="E237">
        <v>0.3125</v>
      </c>
      <c r="F237">
        <v>0.3125</v>
      </c>
      <c r="G237">
        <v>0.3125</v>
      </c>
      <c r="H237">
        <v>0.3125</v>
      </c>
      <c r="I237">
        <v>0.3125</v>
      </c>
    </row>
    <row r="238" spans="1:9" x14ac:dyDescent="0.35">
      <c r="A238" t="s">
        <v>283</v>
      </c>
      <c r="B238">
        <v>0.3125</v>
      </c>
      <c r="C238">
        <v>0.3125</v>
      </c>
      <c r="D238">
        <v>0.3125</v>
      </c>
      <c r="E238">
        <v>1</v>
      </c>
      <c r="F238">
        <v>0.3125</v>
      </c>
      <c r="G238">
        <v>0.3125</v>
      </c>
      <c r="H238">
        <v>0.3125</v>
      </c>
      <c r="I238">
        <v>0.3125</v>
      </c>
    </row>
    <row r="239" spans="1:9" x14ac:dyDescent="0.35">
      <c r="A239" t="s">
        <v>285</v>
      </c>
      <c r="B239">
        <v>0.3125</v>
      </c>
      <c r="C239">
        <v>0.3125</v>
      </c>
      <c r="D239">
        <v>0.3125</v>
      </c>
      <c r="E239">
        <v>0.3125</v>
      </c>
      <c r="F239">
        <v>1</v>
      </c>
      <c r="G239">
        <v>0.3125</v>
      </c>
      <c r="H239">
        <v>0.3125</v>
      </c>
      <c r="I239">
        <v>0.3125</v>
      </c>
    </row>
    <row r="240" spans="1:9" x14ac:dyDescent="0.35">
      <c r="A240" t="s">
        <v>287</v>
      </c>
      <c r="B240">
        <v>0.3125</v>
      </c>
      <c r="C240">
        <v>0.3125</v>
      </c>
      <c r="D240">
        <v>0.3125</v>
      </c>
      <c r="E240">
        <v>0.3125</v>
      </c>
      <c r="F240">
        <v>0.3125</v>
      </c>
      <c r="G240">
        <v>1</v>
      </c>
      <c r="H240">
        <v>0.3125</v>
      </c>
      <c r="I240">
        <v>0.3125</v>
      </c>
    </row>
    <row r="241" spans="1:13" x14ac:dyDescent="0.35">
      <c r="A241" t="s">
        <v>289</v>
      </c>
      <c r="B241">
        <v>0.3125</v>
      </c>
      <c r="C241">
        <v>0.3125</v>
      </c>
      <c r="D241">
        <v>0.3125</v>
      </c>
      <c r="E241">
        <v>0.3125</v>
      </c>
      <c r="F241">
        <v>0.3125</v>
      </c>
      <c r="G241">
        <v>0.3125</v>
      </c>
      <c r="H241">
        <v>1</v>
      </c>
      <c r="I241">
        <v>0.3125</v>
      </c>
    </row>
    <row r="242" spans="1:13" x14ac:dyDescent="0.35">
      <c r="A242" t="s">
        <v>291</v>
      </c>
      <c r="B242">
        <v>0.3125</v>
      </c>
      <c r="C242">
        <v>0.3125</v>
      </c>
      <c r="D242">
        <v>0.3125</v>
      </c>
      <c r="E242">
        <v>0.3125</v>
      </c>
      <c r="F242">
        <v>0.3125</v>
      </c>
      <c r="G242">
        <v>0.3125</v>
      </c>
      <c r="H242">
        <v>0.3125</v>
      </c>
      <c r="I242">
        <v>1</v>
      </c>
    </row>
    <row r="245" spans="1:13" x14ac:dyDescent="0.35">
      <c r="A245" t="s">
        <v>387</v>
      </c>
    </row>
    <row r="246" spans="1:13" x14ac:dyDescent="0.35">
      <c r="B246" t="s">
        <v>301</v>
      </c>
      <c r="C246" t="s">
        <v>302</v>
      </c>
      <c r="D246" t="s">
        <v>303</v>
      </c>
      <c r="E246" t="s">
        <v>304</v>
      </c>
      <c r="F246" t="s">
        <v>305</v>
      </c>
      <c r="G246" t="s">
        <v>306</v>
      </c>
      <c r="H246" t="s">
        <v>307</v>
      </c>
      <c r="I246" t="s">
        <v>309</v>
      </c>
      <c r="J246" t="s">
        <v>311</v>
      </c>
      <c r="K246" t="s">
        <v>312</v>
      </c>
      <c r="L246" t="s">
        <v>313</v>
      </c>
      <c r="M246" t="s">
        <v>315</v>
      </c>
    </row>
    <row r="247" spans="1:13" x14ac:dyDescent="0.35">
      <c r="A247" t="s">
        <v>301</v>
      </c>
      <c r="B247">
        <v>1</v>
      </c>
      <c r="C247">
        <v>1</v>
      </c>
      <c r="D247">
        <v>1</v>
      </c>
      <c r="E247">
        <v>1</v>
      </c>
      <c r="F247">
        <v>0.89874999999999994</v>
      </c>
      <c r="G247">
        <v>0.70749999999999991</v>
      </c>
      <c r="H247">
        <v>0.5</v>
      </c>
      <c r="I247">
        <v>0.5</v>
      </c>
      <c r="J247">
        <v>0.5</v>
      </c>
      <c r="K247">
        <v>0.5</v>
      </c>
      <c r="L247">
        <v>0.5</v>
      </c>
      <c r="M247">
        <v>0</v>
      </c>
    </row>
    <row r="248" spans="1:13" x14ac:dyDescent="0.35">
      <c r="A248" t="s">
        <v>302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0.95374999999999999</v>
      </c>
      <c r="H248">
        <v>0.70749999999999991</v>
      </c>
      <c r="I248">
        <v>0.52374999999999994</v>
      </c>
      <c r="J248">
        <v>0.5</v>
      </c>
      <c r="K248">
        <v>0.5</v>
      </c>
      <c r="L248">
        <v>0.5</v>
      </c>
      <c r="M248">
        <v>0</v>
      </c>
    </row>
    <row r="249" spans="1:13" x14ac:dyDescent="0.35">
      <c r="A249" t="s">
        <v>303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0.95374999999999999</v>
      </c>
      <c r="I249">
        <v>0.82125000000000004</v>
      </c>
      <c r="J249">
        <v>0.70749999999999991</v>
      </c>
      <c r="K249">
        <v>0.52374999999999994</v>
      </c>
      <c r="L249">
        <v>0.5</v>
      </c>
      <c r="M249">
        <v>0</v>
      </c>
    </row>
    <row r="250" spans="1:13" x14ac:dyDescent="0.35">
      <c r="A250" t="s">
        <v>304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0.95374999999999999</v>
      </c>
      <c r="K250">
        <v>0.82125000000000004</v>
      </c>
      <c r="L250">
        <v>0.5</v>
      </c>
      <c r="M250">
        <v>0</v>
      </c>
    </row>
    <row r="251" spans="1:13" x14ac:dyDescent="0.35">
      <c r="A251" t="s">
        <v>305</v>
      </c>
      <c r="B251">
        <v>0.89874999999999994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0.95374999999999999</v>
      </c>
      <c r="L251">
        <v>0.5</v>
      </c>
      <c r="M251">
        <v>0</v>
      </c>
    </row>
    <row r="252" spans="1:13" x14ac:dyDescent="0.35">
      <c r="A252" t="s">
        <v>306</v>
      </c>
      <c r="B252">
        <v>0.70749999999999991</v>
      </c>
      <c r="C252">
        <v>0.95374999999999999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0.5</v>
      </c>
      <c r="M252">
        <v>0</v>
      </c>
    </row>
    <row r="253" spans="1:13" x14ac:dyDescent="0.35">
      <c r="A253" t="s">
        <v>307</v>
      </c>
      <c r="B253">
        <v>0.5</v>
      </c>
      <c r="C253">
        <v>0.70749999999999991</v>
      </c>
      <c r="D253">
        <v>0.95374999999999999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0.5</v>
      </c>
      <c r="M253">
        <v>0</v>
      </c>
    </row>
    <row r="254" spans="1:13" x14ac:dyDescent="0.35">
      <c r="A254" t="s">
        <v>309</v>
      </c>
      <c r="B254">
        <v>0.5</v>
      </c>
      <c r="C254">
        <v>0.52374999999999994</v>
      </c>
      <c r="D254">
        <v>0.82125000000000004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0.5</v>
      </c>
      <c r="M254">
        <v>0</v>
      </c>
    </row>
    <row r="255" spans="1:13" x14ac:dyDescent="0.35">
      <c r="A255" t="s">
        <v>311</v>
      </c>
      <c r="B255">
        <v>0.5</v>
      </c>
      <c r="C255">
        <v>0.5</v>
      </c>
      <c r="D255">
        <v>0.70749999999999991</v>
      </c>
      <c r="E255">
        <v>0.95374999999999999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0.5</v>
      </c>
      <c r="M255">
        <v>0</v>
      </c>
    </row>
    <row r="256" spans="1:13" x14ac:dyDescent="0.35">
      <c r="A256" t="s">
        <v>312</v>
      </c>
      <c r="B256">
        <v>0.5</v>
      </c>
      <c r="C256">
        <v>0.5</v>
      </c>
      <c r="D256">
        <v>0.52374999999999994</v>
      </c>
      <c r="E256">
        <v>0.82125000000000004</v>
      </c>
      <c r="F256">
        <v>0.95374999999999999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0.5</v>
      </c>
      <c r="M256">
        <v>0</v>
      </c>
    </row>
    <row r="257" spans="1:13" x14ac:dyDescent="0.35">
      <c r="A257" t="s">
        <v>313</v>
      </c>
      <c r="B257">
        <v>0.5</v>
      </c>
      <c r="C257">
        <v>0.5</v>
      </c>
      <c r="D257">
        <v>0.5</v>
      </c>
      <c r="E257">
        <v>0.5</v>
      </c>
      <c r="F257">
        <v>0.5</v>
      </c>
      <c r="G257">
        <v>0.5</v>
      </c>
      <c r="H257">
        <v>0.5</v>
      </c>
      <c r="I257">
        <v>0.5</v>
      </c>
      <c r="J257">
        <v>0.5</v>
      </c>
      <c r="K257">
        <v>0.5</v>
      </c>
      <c r="L257">
        <v>1</v>
      </c>
      <c r="M257">
        <v>0</v>
      </c>
    </row>
    <row r="258" spans="1:13" x14ac:dyDescent="0.35">
      <c r="A258" t="s">
        <v>315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1</v>
      </c>
    </row>
    <row r="261" spans="1:13" x14ac:dyDescent="0.35">
      <c r="A261" t="s">
        <v>388</v>
      </c>
    </row>
    <row r="262" spans="1:13" x14ac:dyDescent="0.35">
      <c r="B262" t="s">
        <v>318</v>
      </c>
      <c r="C262" t="s">
        <v>320</v>
      </c>
      <c r="D262" t="s">
        <v>321</v>
      </c>
      <c r="E262" t="s">
        <v>323</v>
      </c>
      <c r="F262" t="s">
        <v>324</v>
      </c>
      <c r="G262" t="s">
        <v>325</v>
      </c>
      <c r="H262" t="s">
        <v>326</v>
      </c>
    </row>
    <row r="263" spans="1:13" x14ac:dyDescent="0.35">
      <c r="A263" t="s">
        <v>318</v>
      </c>
      <c r="B263">
        <v>1</v>
      </c>
      <c r="C263">
        <v>1</v>
      </c>
      <c r="D263">
        <v>1</v>
      </c>
      <c r="E263">
        <v>1</v>
      </c>
      <c r="F263">
        <v>0.89874999999999994</v>
      </c>
      <c r="G263">
        <v>0.70749999999999991</v>
      </c>
      <c r="H263">
        <v>0.5</v>
      </c>
    </row>
    <row r="264" spans="1:13" x14ac:dyDescent="0.35">
      <c r="A264" t="s">
        <v>320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0.95374999999999999</v>
      </c>
      <c r="H264">
        <v>0.70749999999999991</v>
      </c>
    </row>
    <row r="265" spans="1:13" x14ac:dyDescent="0.35">
      <c r="A265" t="s">
        <v>321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0.95374999999999999</v>
      </c>
    </row>
    <row r="266" spans="1:13" x14ac:dyDescent="0.35">
      <c r="A266" t="s">
        <v>323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</row>
    <row r="267" spans="1:13" x14ac:dyDescent="0.35">
      <c r="A267" t="s">
        <v>324</v>
      </c>
      <c r="B267">
        <v>0.89874999999999994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</row>
    <row r="268" spans="1:13" x14ac:dyDescent="0.35">
      <c r="A268" t="s">
        <v>325</v>
      </c>
      <c r="B268">
        <v>0.70749999999999991</v>
      </c>
      <c r="C268">
        <v>0.95374999999999999</v>
      </c>
      <c r="D268">
        <v>1</v>
      </c>
      <c r="E268">
        <v>1</v>
      </c>
      <c r="F268">
        <v>1</v>
      </c>
      <c r="G268">
        <v>1</v>
      </c>
      <c r="H268">
        <v>1</v>
      </c>
    </row>
    <row r="269" spans="1:13" x14ac:dyDescent="0.35">
      <c r="A269" t="s">
        <v>326</v>
      </c>
      <c r="B269">
        <v>0.5</v>
      </c>
      <c r="C269">
        <v>0.70749999999999991</v>
      </c>
      <c r="D269">
        <v>0.95374999999999999</v>
      </c>
      <c r="E269">
        <v>1</v>
      </c>
      <c r="F269">
        <v>1</v>
      </c>
      <c r="G269">
        <v>1</v>
      </c>
      <c r="H269">
        <v>1</v>
      </c>
    </row>
    <row r="272" spans="1:13" x14ac:dyDescent="0.35">
      <c r="A272" t="s">
        <v>389</v>
      </c>
    </row>
    <row r="273" spans="1:9" x14ac:dyDescent="0.35">
      <c r="B273" t="s">
        <v>328</v>
      </c>
      <c r="C273" t="s">
        <v>329</v>
      </c>
      <c r="D273" t="s">
        <v>331</v>
      </c>
    </row>
    <row r="274" spans="1:9" x14ac:dyDescent="0.35">
      <c r="A274" t="s">
        <v>328</v>
      </c>
      <c r="B274">
        <v>1</v>
      </c>
      <c r="C274">
        <v>1</v>
      </c>
      <c r="D274">
        <v>1</v>
      </c>
    </row>
    <row r="275" spans="1:9" x14ac:dyDescent="0.35">
      <c r="A275" t="s">
        <v>329</v>
      </c>
      <c r="B275">
        <v>1</v>
      </c>
      <c r="C275">
        <v>1</v>
      </c>
      <c r="D275">
        <v>1</v>
      </c>
    </row>
    <row r="276" spans="1:9" x14ac:dyDescent="0.35">
      <c r="A276" t="s">
        <v>331</v>
      </c>
      <c r="B276">
        <v>1</v>
      </c>
      <c r="C276">
        <v>1</v>
      </c>
      <c r="D276">
        <v>1</v>
      </c>
    </row>
    <row r="279" spans="1:9" x14ac:dyDescent="0.35">
      <c r="A279" t="s">
        <v>390</v>
      </c>
    </row>
    <row r="280" spans="1:9" x14ac:dyDescent="0.35">
      <c r="B280" t="s">
        <v>332</v>
      </c>
      <c r="C280" t="s">
        <v>333</v>
      </c>
      <c r="D280" t="s">
        <v>334</v>
      </c>
      <c r="E280" t="s">
        <v>335</v>
      </c>
      <c r="F280" t="s">
        <v>336</v>
      </c>
      <c r="G280" t="s">
        <v>337</v>
      </c>
      <c r="H280" t="s">
        <v>338</v>
      </c>
      <c r="I280" t="s">
        <v>339</v>
      </c>
    </row>
    <row r="281" spans="1:9" x14ac:dyDescent="0.35">
      <c r="A281" t="s">
        <v>332</v>
      </c>
      <c r="B281">
        <v>1</v>
      </c>
      <c r="C281">
        <v>1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</row>
    <row r="282" spans="1:9" x14ac:dyDescent="0.35">
      <c r="A282" t="s">
        <v>333</v>
      </c>
      <c r="B282">
        <v>1</v>
      </c>
      <c r="C282">
        <v>1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</row>
    <row r="283" spans="1:9" x14ac:dyDescent="0.35">
      <c r="A283" t="s">
        <v>334</v>
      </c>
      <c r="B283">
        <v>1</v>
      </c>
      <c r="C283">
        <v>1</v>
      </c>
      <c r="D283">
        <v>1</v>
      </c>
      <c r="E283">
        <v>1</v>
      </c>
      <c r="F283">
        <v>1</v>
      </c>
      <c r="G283">
        <v>1</v>
      </c>
      <c r="H283">
        <v>1</v>
      </c>
      <c r="I283">
        <v>1</v>
      </c>
    </row>
    <row r="284" spans="1:9" x14ac:dyDescent="0.35">
      <c r="A284" t="s">
        <v>335</v>
      </c>
      <c r="B284">
        <v>1</v>
      </c>
      <c r="C284">
        <v>1</v>
      </c>
      <c r="D284">
        <v>1</v>
      </c>
      <c r="E284">
        <v>1</v>
      </c>
      <c r="F284">
        <v>1</v>
      </c>
      <c r="G284">
        <v>1</v>
      </c>
      <c r="H284">
        <v>1</v>
      </c>
      <c r="I284">
        <v>1</v>
      </c>
    </row>
    <row r="285" spans="1:9" x14ac:dyDescent="0.35">
      <c r="A285" t="s">
        <v>336</v>
      </c>
      <c r="B285">
        <v>1</v>
      </c>
      <c r="C285">
        <v>1</v>
      </c>
      <c r="D285">
        <v>1</v>
      </c>
      <c r="E285">
        <v>1</v>
      </c>
      <c r="F285">
        <v>1</v>
      </c>
      <c r="G285">
        <v>1</v>
      </c>
      <c r="H285">
        <v>1</v>
      </c>
      <c r="I285">
        <v>1</v>
      </c>
    </row>
    <row r="286" spans="1:9" x14ac:dyDescent="0.35">
      <c r="A286" t="s">
        <v>337</v>
      </c>
      <c r="B286">
        <v>1</v>
      </c>
      <c r="C286">
        <v>1</v>
      </c>
      <c r="D286">
        <v>1</v>
      </c>
      <c r="E286">
        <v>1</v>
      </c>
      <c r="F286">
        <v>1</v>
      </c>
      <c r="G286">
        <v>1</v>
      </c>
      <c r="H286">
        <v>1</v>
      </c>
      <c r="I286">
        <v>1</v>
      </c>
    </row>
    <row r="287" spans="1:9" x14ac:dyDescent="0.35">
      <c r="A287" t="s">
        <v>338</v>
      </c>
      <c r="B287">
        <v>1</v>
      </c>
      <c r="C287">
        <v>1</v>
      </c>
      <c r="D287">
        <v>1</v>
      </c>
      <c r="E287">
        <v>1</v>
      </c>
      <c r="F287">
        <v>1</v>
      </c>
      <c r="G287">
        <v>1</v>
      </c>
      <c r="H287">
        <v>1</v>
      </c>
      <c r="I287">
        <v>1</v>
      </c>
    </row>
    <row r="288" spans="1:9" x14ac:dyDescent="0.35">
      <c r="A288" t="s">
        <v>339</v>
      </c>
      <c r="B288">
        <v>1</v>
      </c>
      <c r="C288">
        <v>1</v>
      </c>
      <c r="D288">
        <v>1</v>
      </c>
      <c r="E288">
        <v>1</v>
      </c>
      <c r="F288">
        <v>1</v>
      </c>
      <c r="G288">
        <v>1</v>
      </c>
      <c r="H288">
        <v>1</v>
      </c>
      <c r="I288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factors_distinct</vt:lpstr>
      <vt:lpstr>factors_per_position</vt:lpstr>
      <vt:lpstr>low_summary</vt:lpstr>
      <vt:lpstr>low_rho_matrices</vt:lpstr>
      <vt:lpstr>medium_summary</vt:lpstr>
      <vt:lpstr>medium_rho_matrices</vt:lpstr>
      <vt:lpstr>high_summary</vt:lpstr>
      <vt:lpstr>high_rho_matrices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2026-04-25T17:43:48Z</dcterms:created>
  <dcterms:modified xsi:type="dcterms:W3CDTF">2026-04-25T20:54:57Z</dcterms:modified>
</cp:coreProperties>
</file>