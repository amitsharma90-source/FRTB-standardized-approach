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mits\Desktop\All quant workshop\Market Risk\FRTB\FRTB-Apr 2026-Delta,Vega, Curvature, all risk classes\FRTB SA\output\"/>
    </mc:Choice>
  </mc:AlternateContent>
  <xr:revisionPtr revIDLastSave="0" documentId="13_ncr:1_{45B17BCF-2429-4D96-8EC5-EF59F55060B1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README" sheetId="1" r:id="rId1"/>
    <sheet name="low_summary" sheetId="2" r:id="rId2"/>
    <sheet name="low_bucket_inputs" sheetId="3" r:id="rId3"/>
    <sheet name="low_gamma_matrices" sheetId="4" r:id="rId4"/>
    <sheet name="medium_summary" sheetId="5" r:id="rId5"/>
    <sheet name="medium_bucket_inputs" sheetId="6" r:id="rId6"/>
    <sheet name="medium_gamma_matrices" sheetId="7" r:id="rId7"/>
    <sheet name="high_summary" sheetId="8" r:id="rId8"/>
    <sheet name="high_bucket_inputs" sheetId="9" r:id="rId9"/>
    <sheet name="high_gamma_matrices" sheetId="10" r:id="rId10"/>
  </sheets>
  <definedNames>
    <definedName name="_xlnm._FilterDatabase" localSheetId="5" hidden="1">medium_bucket_inputs!$A$1:$G$32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6" l="1"/>
  <c r="H15" i="6"/>
  <c r="H16" i="6"/>
  <c r="H17" i="6"/>
  <c r="H18" i="6"/>
  <c r="H19" i="6"/>
  <c r="H20" i="6"/>
  <c r="H21" i="6"/>
  <c r="H22" i="6"/>
  <c r="H23" i="6"/>
  <c r="H14" i="6"/>
</calcChain>
</file>

<file path=xl/sharedStrings.xml><?xml version="1.0" encoding="utf-8"?>
<sst xmlns="http://schemas.openxmlformats.org/spreadsheetml/2006/main" count="599" uniqueCount="69">
  <si>
    <t>Sheet</t>
  </si>
  <si>
    <t>Purpose</t>
  </si>
  <si>
    <t>README</t>
  </si>
  <si>
    <t>Column / sheet glossary.</t>
  </si>
  <si>
    <t>{scen}_summary</t>
  </si>
  <si>
    <t>Per-risk-class charge with sum_Kb2_sqrt baseline.</t>
  </si>
  <si>
    <t>{scen}_bucket_inputs</t>
  </si>
  <si>
    <t>Per (risk_class, bucket): Kb / Sb feeding the inter-bucket sum.</t>
  </si>
  <si>
    <t>{scen}_gamma_matrices</t>
  </si>
  <si>
    <t>Stacked inter-bucket gamma matrices for risk classes with &gt;=2 buckets.</t>
  </si>
  <si>
    <t>kind</t>
  </si>
  <si>
    <t>risk_class</t>
  </si>
  <si>
    <t>n_buckets</t>
  </si>
  <si>
    <t>sum_Kb2_sqrt</t>
  </si>
  <si>
    <t>charge</t>
  </si>
  <si>
    <t>alt_s_floor_used</t>
  </si>
  <si>
    <t>scenario</t>
  </si>
  <si>
    <t>delta</t>
  </si>
  <si>
    <t>COMMODITY</t>
  </si>
  <si>
    <t>low</t>
  </si>
  <si>
    <t>CSR_NONSEC</t>
  </si>
  <si>
    <t>CSR_SEC_NONCTP</t>
  </si>
  <si>
    <t>EQUITY</t>
  </si>
  <si>
    <t>FX</t>
  </si>
  <si>
    <t>GIRR</t>
  </si>
  <si>
    <t>vega</t>
  </si>
  <si>
    <t>bucket_id</t>
  </si>
  <si>
    <t>Sb</t>
  </si>
  <si>
    <t>Kb</t>
  </si>
  <si>
    <t>n_factors</t>
  </si>
  <si>
    <t>GBP/USD</t>
  </si>
  <si>
    <t>GBP</t>
  </si>
  <si>
    <t>USD</t>
  </si>
  <si>
    <t>Risk class: delta | COMMODITY   (n_buckets=7)</t>
  </si>
  <si>
    <t>COMMODITY | 2</t>
  </si>
  <si>
    <t>COMMODITY | 5</t>
  </si>
  <si>
    <t>COMMODITY | 6</t>
  </si>
  <si>
    <t>COMMODITY | 7</t>
  </si>
  <si>
    <t>COMMODITY | 8</t>
  </si>
  <si>
    <t>COMMODITY | 9</t>
  </si>
  <si>
    <t>COMMODITY | 10</t>
  </si>
  <si>
    <t>Risk class: delta | CSR_NONSEC   (n_buckets=5)</t>
  </si>
  <si>
    <t>CSR_NONSEC | 3</t>
  </si>
  <si>
    <t>CSR_NONSEC | 4</t>
  </si>
  <si>
    <t>CSR_NONSEC | 5</t>
  </si>
  <si>
    <t>CSR_NONSEC | 6</t>
  </si>
  <si>
    <t>CSR_NONSEC | 7</t>
  </si>
  <si>
    <t>Risk class: delta | CSR_SEC_NONCTP   (n_buckets=10)</t>
  </si>
  <si>
    <t>CSR_SEC_NONCTP | 1</t>
  </si>
  <si>
    <t>CSR_SEC_NONCTP | 4</t>
  </si>
  <si>
    <t>CSR_SEC_NONCTP | 6</t>
  </si>
  <si>
    <t>CSR_SEC_NONCTP | 7</t>
  </si>
  <si>
    <t>CSR_SEC_NONCTP | 8</t>
  </si>
  <si>
    <t>CSR_SEC_NONCTP | 9</t>
  </si>
  <si>
    <t>CSR_SEC_NONCTP | 12</t>
  </si>
  <si>
    <t>CSR_SEC_NONCTP | 14</t>
  </si>
  <si>
    <t>CSR_SEC_NONCTP | 15</t>
  </si>
  <si>
    <t>CSR_SEC_NONCTP | 16</t>
  </si>
  <si>
    <t>Risk class: delta | EQUITY   (n_buckets=4)</t>
  </si>
  <si>
    <t>EQUITY | 5</t>
  </si>
  <si>
    <t>EQUITY | 7</t>
  </si>
  <si>
    <t>EQUITY | 8</t>
  </si>
  <si>
    <t>EQUITY | 12</t>
  </si>
  <si>
    <t>Risk class: delta | GIRR   (n_buckets=2)</t>
  </si>
  <si>
    <t>GIRR | GBP</t>
  </si>
  <si>
    <t>GIRR | USD</t>
  </si>
  <si>
    <t>medium</t>
  </si>
  <si>
    <t>high</t>
  </si>
  <si>
    <t>Kb squared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</si>
</sst>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43" fontId="0" fillId="0" borderId="0" xfId="1" applyFont="1"/>
    <xf numFmtId="0" fontId="0" fillId="2" borderId="0" xfId="0" applyFill="1"/>
    <xf numFmtId="43" fontId="0" fillId="2" borderId="0" xfId="1" applyFont="1" applyFill="1"/>
    <xf numFmtId="43" fontId="1" fillId="0" borderId="1" xfId="1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/>
  </sheetViews>
  <sheetFormatPr defaultRowHeight="14.5" x14ac:dyDescent="0.35"/>
  <sheetData>
    <row r="1" spans="1:7" x14ac:dyDescent="0.3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</row>
    <row r="2" spans="1:7" x14ac:dyDescent="0.35">
      <c r="A2" t="s">
        <v>17</v>
      </c>
      <c r="B2" t="s">
        <v>18</v>
      </c>
      <c r="C2">
        <v>7</v>
      </c>
      <c r="D2">
        <v>5780009.191543486</v>
      </c>
      <c r="E2">
        <v>8205761.2078648936</v>
      </c>
      <c r="F2" t="b">
        <v>0</v>
      </c>
      <c r="G2" t="s">
        <v>19</v>
      </c>
    </row>
    <row r="3" spans="1:7" x14ac:dyDescent="0.35">
      <c r="A3" t="s">
        <v>17</v>
      </c>
      <c r="B3" t="s">
        <v>20</v>
      </c>
      <c r="C3">
        <v>5</v>
      </c>
      <c r="D3">
        <v>336059.21056702419</v>
      </c>
      <c r="E3">
        <v>488650.08870814071</v>
      </c>
      <c r="F3" t="b">
        <v>0</v>
      </c>
      <c r="G3" t="s">
        <v>19</v>
      </c>
    </row>
    <row r="4" spans="1:7" x14ac:dyDescent="0.35">
      <c r="A4" t="s">
        <v>17</v>
      </c>
      <c r="B4" t="s">
        <v>21</v>
      </c>
      <c r="C4">
        <v>10</v>
      </c>
      <c r="D4">
        <v>13949223.28463628</v>
      </c>
      <c r="E4">
        <v>13949223.28463628</v>
      </c>
      <c r="F4" t="b">
        <v>0</v>
      </c>
      <c r="G4" t="s">
        <v>19</v>
      </c>
    </row>
    <row r="5" spans="1:7" x14ac:dyDescent="0.35">
      <c r="A5" t="s">
        <v>17</v>
      </c>
      <c r="B5" t="s">
        <v>22</v>
      </c>
      <c r="C5">
        <v>4</v>
      </c>
      <c r="D5">
        <v>5807189.6784996977</v>
      </c>
      <c r="E5">
        <v>6001796.487004023</v>
      </c>
      <c r="F5" t="b">
        <v>0</v>
      </c>
      <c r="G5" t="s">
        <v>19</v>
      </c>
    </row>
    <row r="6" spans="1:7" x14ac:dyDescent="0.35">
      <c r="A6" t="s">
        <v>17</v>
      </c>
      <c r="B6" t="s">
        <v>23</v>
      </c>
      <c r="C6">
        <v>1</v>
      </c>
      <c r="D6">
        <v>1447270.8043935669</v>
      </c>
      <c r="E6">
        <v>1447270.8043935669</v>
      </c>
      <c r="F6" t="b">
        <v>0</v>
      </c>
      <c r="G6" t="s">
        <v>19</v>
      </c>
    </row>
    <row r="7" spans="1:7" x14ac:dyDescent="0.35">
      <c r="A7" t="s">
        <v>17</v>
      </c>
      <c r="B7" t="s">
        <v>24</v>
      </c>
      <c r="C7">
        <v>2</v>
      </c>
      <c r="D7">
        <v>18157784.725302391</v>
      </c>
      <c r="E7">
        <v>17247609.89320736</v>
      </c>
      <c r="F7" t="b">
        <v>0</v>
      </c>
      <c r="G7" t="s">
        <v>19</v>
      </c>
    </row>
    <row r="8" spans="1:7" x14ac:dyDescent="0.35">
      <c r="A8" t="s">
        <v>25</v>
      </c>
      <c r="B8" t="s">
        <v>22</v>
      </c>
      <c r="C8">
        <v>1</v>
      </c>
      <c r="D8">
        <v>3137382.0002974202</v>
      </c>
      <c r="E8">
        <v>3137382.0002974202</v>
      </c>
      <c r="F8" t="b">
        <v>0</v>
      </c>
      <c r="G8" t="s">
        <v>19</v>
      </c>
    </row>
    <row r="9" spans="1:7" x14ac:dyDescent="0.35">
      <c r="A9" t="s">
        <v>25</v>
      </c>
      <c r="B9" t="s">
        <v>24</v>
      </c>
      <c r="C9">
        <v>1</v>
      </c>
      <c r="D9">
        <v>352.92476814842468</v>
      </c>
      <c r="E9">
        <v>352.92476814842468</v>
      </c>
      <c r="F9" t="b">
        <v>0</v>
      </c>
      <c r="G9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"/>
  <sheetViews>
    <sheetView workbookViewId="0"/>
  </sheetViews>
  <sheetFormatPr defaultRowHeight="14.5" x14ac:dyDescent="0.35"/>
  <sheetData>
    <row r="1" spans="1:7" x14ac:dyDescent="0.35">
      <c r="A1" s="1" t="s">
        <v>16</v>
      </c>
      <c r="B1" s="1" t="s">
        <v>10</v>
      </c>
      <c r="C1" s="1" t="s">
        <v>11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35">
      <c r="A2" t="s">
        <v>19</v>
      </c>
      <c r="B2" t="s">
        <v>17</v>
      </c>
      <c r="C2" t="s">
        <v>18</v>
      </c>
      <c r="D2">
        <v>2</v>
      </c>
      <c r="E2">
        <v>3891580</v>
      </c>
      <c r="F2">
        <v>3746137.348417534</v>
      </c>
      <c r="G2">
        <v>15</v>
      </c>
    </row>
    <row r="3" spans="1:7" x14ac:dyDescent="0.35">
      <c r="A3" t="s">
        <v>19</v>
      </c>
      <c r="B3" t="s">
        <v>17</v>
      </c>
      <c r="C3" t="s">
        <v>18</v>
      </c>
      <c r="D3">
        <v>5</v>
      </c>
      <c r="E3">
        <v>3152020</v>
      </c>
      <c r="F3">
        <v>2438964.719646432</v>
      </c>
      <c r="G3">
        <v>15</v>
      </c>
    </row>
    <row r="4" spans="1:7" x14ac:dyDescent="0.35">
      <c r="A4" t="s">
        <v>19</v>
      </c>
      <c r="B4" t="s">
        <v>17</v>
      </c>
      <c r="C4" t="s">
        <v>18</v>
      </c>
      <c r="D4">
        <v>6</v>
      </c>
      <c r="E4">
        <v>1619527.5</v>
      </c>
      <c r="F4">
        <v>1619527.5</v>
      </c>
      <c r="G4">
        <v>3</v>
      </c>
    </row>
    <row r="5" spans="1:7" x14ac:dyDescent="0.35">
      <c r="A5" t="s">
        <v>19</v>
      </c>
      <c r="B5" t="s">
        <v>17</v>
      </c>
      <c r="C5" t="s">
        <v>18</v>
      </c>
      <c r="D5">
        <v>7</v>
      </c>
      <c r="E5">
        <v>1883930</v>
      </c>
      <c r="F5">
        <v>1690847.6351493059</v>
      </c>
      <c r="G5">
        <v>6</v>
      </c>
    </row>
    <row r="6" spans="1:7" x14ac:dyDescent="0.35">
      <c r="A6" t="s">
        <v>19</v>
      </c>
      <c r="B6" t="s">
        <v>17</v>
      </c>
      <c r="C6" t="s">
        <v>18</v>
      </c>
      <c r="D6">
        <v>8</v>
      </c>
      <c r="E6">
        <v>3701880</v>
      </c>
      <c r="F6">
        <v>2525620.816350346</v>
      </c>
      <c r="G6">
        <v>18</v>
      </c>
    </row>
    <row r="7" spans="1:7" x14ac:dyDescent="0.35">
      <c r="A7" t="s">
        <v>19</v>
      </c>
      <c r="B7" t="s">
        <v>17</v>
      </c>
      <c r="C7" t="s">
        <v>18</v>
      </c>
      <c r="D7">
        <v>9</v>
      </c>
      <c r="E7">
        <v>704575</v>
      </c>
      <c r="F7">
        <v>553278.5195145841</v>
      </c>
      <c r="G7">
        <v>6</v>
      </c>
    </row>
    <row r="8" spans="1:7" x14ac:dyDescent="0.35">
      <c r="A8" t="s">
        <v>19</v>
      </c>
      <c r="B8" t="s">
        <v>17</v>
      </c>
      <c r="C8" t="s">
        <v>18</v>
      </c>
      <c r="D8">
        <v>10</v>
      </c>
      <c r="E8">
        <v>1605572.5</v>
      </c>
      <c r="F8">
        <v>1122363.4174160119</v>
      </c>
      <c r="G8">
        <v>12</v>
      </c>
    </row>
    <row r="9" spans="1:7" x14ac:dyDescent="0.35">
      <c r="A9" t="s">
        <v>19</v>
      </c>
      <c r="B9" t="s">
        <v>17</v>
      </c>
      <c r="C9" t="s">
        <v>20</v>
      </c>
      <c r="D9">
        <v>3</v>
      </c>
      <c r="E9">
        <v>-136195.23068475991</v>
      </c>
      <c r="F9">
        <v>94057.093847230237</v>
      </c>
      <c r="G9">
        <v>6</v>
      </c>
    </row>
    <row r="10" spans="1:7" x14ac:dyDescent="0.35">
      <c r="A10" t="s">
        <v>19</v>
      </c>
      <c r="B10" t="s">
        <v>17</v>
      </c>
      <c r="C10" t="s">
        <v>20</v>
      </c>
      <c r="D10">
        <v>4</v>
      </c>
      <c r="E10">
        <v>-328663.75158985239</v>
      </c>
      <c r="F10">
        <v>189878.10699723251</v>
      </c>
      <c r="G10">
        <v>18</v>
      </c>
    </row>
    <row r="11" spans="1:7" x14ac:dyDescent="0.35">
      <c r="A11" t="s">
        <v>19</v>
      </c>
      <c r="B11" t="s">
        <v>17</v>
      </c>
      <c r="C11" t="s">
        <v>20</v>
      </c>
      <c r="D11">
        <v>5</v>
      </c>
      <c r="E11">
        <v>-312046.1054888221</v>
      </c>
      <c r="F11">
        <v>203862.11408394991</v>
      </c>
      <c r="G11">
        <v>12</v>
      </c>
    </row>
    <row r="12" spans="1:7" x14ac:dyDescent="0.35">
      <c r="A12" t="s">
        <v>19</v>
      </c>
      <c r="B12" t="s">
        <v>17</v>
      </c>
      <c r="C12" t="s">
        <v>20</v>
      </c>
      <c r="D12">
        <v>6</v>
      </c>
      <c r="E12">
        <v>-269546.72280388762</v>
      </c>
      <c r="F12">
        <v>153309.53366722821</v>
      </c>
      <c r="G12">
        <v>21</v>
      </c>
    </row>
    <row r="13" spans="1:7" x14ac:dyDescent="0.35">
      <c r="A13" t="s">
        <v>19</v>
      </c>
      <c r="B13" t="s">
        <v>17</v>
      </c>
      <c r="C13" t="s">
        <v>20</v>
      </c>
      <c r="D13">
        <v>7</v>
      </c>
      <c r="E13">
        <v>-81289.082937842919</v>
      </c>
      <c r="F13">
        <v>54514.089142642682</v>
      </c>
      <c r="G13">
        <v>9</v>
      </c>
    </row>
    <row r="14" spans="1:7" x14ac:dyDescent="0.35">
      <c r="A14" t="s">
        <v>19</v>
      </c>
      <c r="B14" t="s">
        <v>17</v>
      </c>
      <c r="C14" t="s">
        <v>21</v>
      </c>
      <c r="D14">
        <v>1</v>
      </c>
      <c r="E14">
        <v>-846905.66391080618</v>
      </c>
      <c r="F14">
        <v>807039.71001703443</v>
      </c>
      <c r="G14">
        <v>3</v>
      </c>
    </row>
    <row r="15" spans="1:7" x14ac:dyDescent="0.35">
      <c r="A15" t="s">
        <v>19</v>
      </c>
      <c r="B15" t="s">
        <v>17</v>
      </c>
      <c r="C15" t="s">
        <v>21</v>
      </c>
      <c r="D15">
        <v>4</v>
      </c>
      <c r="E15">
        <v>-13674118.372000759</v>
      </c>
      <c r="F15">
        <v>11667636.39820721</v>
      </c>
      <c r="G15">
        <v>10</v>
      </c>
    </row>
    <row r="16" spans="1:7" x14ac:dyDescent="0.35">
      <c r="A16" t="s">
        <v>19</v>
      </c>
      <c r="B16" t="s">
        <v>17</v>
      </c>
      <c r="C16" t="s">
        <v>21</v>
      </c>
      <c r="D16">
        <v>6</v>
      </c>
      <c r="E16">
        <v>-6945159.0182232866</v>
      </c>
      <c r="F16">
        <v>5353882.973278827</v>
      </c>
      <c r="G16">
        <v>6</v>
      </c>
    </row>
    <row r="17" spans="1:7" x14ac:dyDescent="0.35">
      <c r="A17" t="s">
        <v>19</v>
      </c>
      <c r="B17" t="s">
        <v>17</v>
      </c>
      <c r="C17" t="s">
        <v>21</v>
      </c>
      <c r="D17">
        <v>7</v>
      </c>
      <c r="E17">
        <v>-1069821.414162219</v>
      </c>
      <c r="F17">
        <v>948550.28912469896</v>
      </c>
      <c r="G17">
        <v>4</v>
      </c>
    </row>
    <row r="18" spans="1:7" x14ac:dyDescent="0.35">
      <c r="A18" t="s">
        <v>19</v>
      </c>
      <c r="B18" t="s">
        <v>17</v>
      </c>
      <c r="C18" t="s">
        <v>21</v>
      </c>
      <c r="D18">
        <v>8</v>
      </c>
      <c r="E18">
        <v>-4707523.9205783606</v>
      </c>
      <c r="F18">
        <v>4077701.891566189</v>
      </c>
      <c r="G18">
        <v>4</v>
      </c>
    </row>
    <row r="19" spans="1:7" x14ac:dyDescent="0.35">
      <c r="A19" t="s">
        <v>19</v>
      </c>
      <c r="B19" t="s">
        <v>17</v>
      </c>
      <c r="C19" t="s">
        <v>21</v>
      </c>
      <c r="D19">
        <v>9</v>
      </c>
      <c r="E19">
        <v>-199887.93445585761</v>
      </c>
      <c r="F19">
        <v>270967.39930902421</v>
      </c>
      <c r="G19">
        <v>6</v>
      </c>
    </row>
    <row r="20" spans="1:7" x14ac:dyDescent="0.35">
      <c r="A20" t="s">
        <v>19</v>
      </c>
      <c r="B20" t="s">
        <v>17</v>
      </c>
      <c r="C20" t="s">
        <v>21</v>
      </c>
      <c r="D20">
        <v>12</v>
      </c>
      <c r="E20">
        <v>-1950821.595627815</v>
      </c>
      <c r="F20">
        <v>1736900.4358081359</v>
      </c>
      <c r="G20">
        <v>5</v>
      </c>
    </row>
    <row r="21" spans="1:7" x14ac:dyDescent="0.35">
      <c r="A21" t="s">
        <v>19</v>
      </c>
      <c r="B21" t="s">
        <v>17</v>
      </c>
      <c r="C21" t="s">
        <v>21</v>
      </c>
      <c r="D21">
        <v>14</v>
      </c>
      <c r="E21">
        <v>-1170403.24422</v>
      </c>
      <c r="F21">
        <v>915497.68701307895</v>
      </c>
      <c r="G21">
        <v>8</v>
      </c>
    </row>
    <row r="22" spans="1:7" x14ac:dyDescent="0.35">
      <c r="A22" t="s">
        <v>19</v>
      </c>
      <c r="B22" t="s">
        <v>17</v>
      </c>
      <c r="C22" t="s">
        <v>21</v>
      </c>
      <c r="D22">
        <v>15</v>
      </c>
      <c r="E22">
        <v>196432.42565835829</v>
      </c>
      <c r="F22">
        <v>174096.72100681881</v>
      </c>
      <c r="G22">
        <v>4</v>
      </c>
    </row>
    <row r="23" spans="1:7" x14ac:dyDescent="0.35">
      <c r="A23" t="s">
        <v>19</v>
      </c>
      <c r="B23" t="s">
        <v>17</v>
      </c>
      <c r="C23" t="s">
        <v>21</v>
      </c>
      <c r="D23">
        <v>16</v>
      </c>
      <c r="E23">
        <v>-3663377.1435123868</v>
      </c>
      <c r="F23">
        <v>2765071.9037103602</v>
      </c>
      <c r="G23">
        <v>8</v>
      </c>
    </row>
    <row r="24" spans="1:7" x14ac:dyDescent="0.35">
      <c r="A24" t="s">
        <v>19</v>
      </c>
      <c r="B24" t="s">
        <v>17</v>
      </c>
      <c r="C24" t="s">
        <v>22</v>
      </c>
      <c r="D24">
        <v>5</v>
      </c>
      <c r="E24">
        <v>774226.32299999997</v>
      </c>
      <c r="F24">
        <v>774226.32299999997</v>
      </c>
      <c r="G24">
        <v>1</v>
      </c>
    </row>
    <row r="25" spans="1:7" x14ac:dyDescent="0.35">
      <c r="A25" t="s">
        <v>19</v>
      </c>
      <c r="B25" t="s">
        <v>17</v>
      </c>
      <c r="C25" t="s">
        <v>22</v>
      </c>
      <c r="D25">
        <v>7</v>
      </c>
      <c r="E25">
        <v>227125.18400000001</v>
      </c>
      <c r="F25">
        <v>227125.18400000001</v>
      </c>
      <c r="G25">
        <v>1</v>
      </c>
    </row>
    <row r="26" spans="1:7" x14ac:dyDescent="0.35">
      <c r="A26" t="s">
        <v>19</v>
      </c>
      <c r="B26" t="s">
        <v>17</v>
      </c>
      <c r="C26" t="s">
        <v>22</v>
      </c>
      <c r="D26">
        <v>8</v>
      </c>
      <c r="E26">
        <v>10050426.220000001</v>
      </c>
      <c r="F26">
        <v>5750864.2043536576</v>
      </c>
      <c r="G26">
        <v>8</v>
      </c>
    </row>
    <row r="27" spans="1:7" x14ac:dyDescent="0.35">
      <c r="A27" t="s">
        <v>19</v>
      </c>
      <c r="B27" t="s">
        <v>17</v>
      </c>
      <c r="C27" t="s">
        <v>22</v>
      </c>
      <c r="D27">
        <v>12</v>
      </c>
      <c r="E27">
        <v>-785.31781240423163</v>
      </c>
      <c r="F27">
        <v>785.31781240423163</v>
      </c>
      <c r="G27">
        <v>4</v>
      </c>
    </row>
    <row r="28" spans="1:7" x14ac:dyDescent="0.35">
      <c r="A28" t="s">
        <v>19</v>
      </c>
      <c r="B28" t="s">
        <v>17</v>
      </c>
      <c r="C28" t="s">
        <v>23</v>
      </c>
      <c r="D28" t="s">
        <v>30</v>
      </c>
      <c r="E28">
        <v>-1447270.804393566</v>
      </c>
      <c r="F28">
        <v>1447270.8043935669</v>
      </c>
      <c r="G28">
        <v>4</v>
      </c>
    </row>
    <row r="29" spans="1:7" x14ac:dyDescent="0.35">
      <c r="A29" t="s">
        <v>19</v>
      </c>
      <c r="B29" t="s">
        <v>17</v>
      </c>
      <c r="C29" t="s">
        <v>24</v>
      </c>
      <c r="D29" t="s">
        <v>31</v>
      </c>
      <c r="E29">
        <v>2231172.796177038</v>
      </c>
      <c r="F29">
        <v>2065703.0709832129</v>
      </c>
      <c r="G29">
        <v>34</v>
      </c>
    </row>
    <row r="30" spans="1:7" x14ac:dyDescent="0.35">
      <c r="A30" t="s">
        <v>19</v>
      </c>
      <c r="B30" t="s">
        <v>17</v>
      </c>
      <c r="C30" t="s">
        <v>24</v>
      </c>
      <c r="D30" t="s">
        <v>32</v>
      </c>
      <c r="E30">
        <v>-19257494.9266597</v>
      </c>
      <c r="F30">
        <v>18039900.691327419</v>
      </c>
      <c r="G30">
        <v>211</v>
      </c>
    </row>
    <row r="31" spans="1:7" x14ac:dyDescent="0.35">
      <c r="A31" t="s">
        <v>19</v>
      </c>
      <c r="B31" t="s">
        <v>25</v>
      </c>
      <c r="C31" t="s">
        <v>22</v>
      </c>
      <c r="D31">
        <v>12</v>
      </c>
      <c r="E31">
        <v>-3159511.898233219</v>
      </c>
      <c r="F31">
        <v>3137382.0002974202</v>
      </c>
      <c r="G31">
        <v>5</v>
      </c>
    </row>
    <row r="32" spans="1:7" x14ac:dyDescent="0.35">
      <c r="A32" t="s">
        <v>19</v>
      </c>
      <c r="B32" t="s">
        <v>25</v>
      </c>
      <c r="C32" t="s">
        <v>24</v>
      </c>
      <c r="D32" t="s">
        <v>32</v>
      </c>
      <c r="E32">
        <v>-360.0900887363735</v>
      </c>
      <c r="F32">
        <v>352.92476814842468</v>
      </c>
      <c r="G32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/>
  </sheetViews>
  <sheetFormatPr defaultRowHeight="14.5" x14ac:dyDescent="0.35"/>
  <sheetData>
    <row r="1" spans="1:8" x14ac:dyDescent="0.35">
      <c r="A1" t="s">
        <v>33</v>
      </c>
    </row>
    <row r="2" spans="1:8" x14ac:dyDescent="0.35">
      <c r="B2" t="s">
        <v>34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</row>
    <row r="3" spans="1:8" x14ac:dyDescent="0.35">
      <c r="A3" t="s">
        <v>34</v>
      </c>
      <c r="B3">
        <v>1</v>
      </c>
      <c r="C3">
        <v>0.15</v>
      </c>
      <c r="D3">
        <v>0.15</v>
      </c>
      <c r="E3">
        <v>0.15</v>
      </c>
      <c r="F3">
        <v>0.15</v>
      </c>
      <c r="G3">
        <v>0.15</v>
      </c>
      <c r="H3">
        <v>0.15</v>
      </c>
    </row>
    <row r="4" spans="1:8" x14ac:dyDescent="0.35">
      <c r="A4" t="s">
        <v>35</v>
      </c>
      <c r="B4">
        <v>0.15</v>
      </c>
      <c r="C4">
        <v>1</v>
      </c>
      <c r="D4">
        <v>0.15</v>
      </c>
      <c r="E4">
        <v>0.15</v>
      </c>
      <c r="F4">
        <v>0.15</v>
      </c>
      <c r="G4">
        <v>0.15</v>
      </c>
      <c r="H4">
        <v>0.15</v>
      </c>
    </row>
    <row r="5" spans="1:8" x14ac:dyDescent="0.35">
      <c r="A5" t="s">
        <v>36</v>
      </c>
      <c r="B5">
        <v>0.15</v>
      </c>
      <c r="C5">
        <v>0.15</v>
      </c>
      <c r="D5">
        <v>1</v>
      </c>
      <c r="E5">
        <v>0.15</v>
      </c>
      <c r="F5">
        <v>0.15</v>
      </c>
      <c r="G5">
        <v>0.15</v>
      </c>
      <c r="H5">
        <v>0.15</v>
      </c>
    </row>
    <row r="6" spans="1:8" x14ac:dyDescent="0.35">
      <c r="A6" t="s">
        <v>37</v>
      </c>
      <c r="B6">
        <v>0.15</v>
      </c>
      <c r="C6">
        <v>0.15</v>
      </c>
      <c r="D6">
        <v>0.15</v>
      </c>
      <c r="E6">
        <v>1</v>
      </c>
      <c r="F6">
        <v>0.15</v>
      </c>
      <c r="G6">
        <v>0.15</v>
      </c>
      <c r="H6">
        <v>0.15</v>
      </c>
    </row>
    <row r="7" spans="1:8" x14ac:dyDescent="0.35">
      <c r="A7" t="s">
        <v>38</v>
      </c>
      <c r="B7">
        <v>0.15</v>
      </c>
      <c r="C7">
        <v>0.15</v>
      </c>
      <c r="D7">
        <v>0.15</v>
      </c>
      <c r="E7">
        <v>0.15</v>
      </c>
      <c r="F7">
        <v>1</v>
      </c>
      <c r="G7">
        <v>0.15</v>
      </c>
      <c r="H7">
        <v>0.15</v>
      </c>
    </row>
    <row r="8" spans="1:8" x14ac:dyDescent="0.35">
      <c r="A8" t="s">
        <v>39</v>
      </c>
      <c r="B8">
        <v>0.15</v>
      </c>
      <c r="C8">
        <v>0.15</v>
      </c>
      <c r="D8">
        <v>0.15</v>
      </c>
      <c r="E8">
        <v>0.15</v>
      </c>
      <c r="F8">
        <v>0.15</v>
      </c>
      <c r="G8">
        <v>1</v>
      </c>
      <c r="H8">
        <v>0.15</v>
      </c>
    </row>
    <row r="9" spans="1:8" x14ac:dyDescent="0.35">
      <c r="A9" t="s">
        <v>40</v>
      </c>
      <c r="B9">
        <v>0.15</v>
      </c>
      <c r="C9">
        <v>0.15</v>
      </c>
      <c r="D9">
        <v>0.15</v>
      </c>
      <c r="E9">
        <v>0.15</v>
      </c>
      <c r="F9">
        <v>0.15</v>
      </c>
      <c r="G9">
        <v>0.15</v>
      </c>
      <c r="H9">
        <v>1</v>
      </c>
    </row>
    <row r="12" spans="1:8" x14ac:dyDescent="0.35">
      <c r="A12" t="s">
        <v>41</v>
      </c>
    </row>
    <row r="13" spans="1:8" x14ac:dyDescent="0.35">
      <c r="B13" t="s">
        <v>42</v>
      </c>
      <c r="C13" t="s">
        <v>43</v>
      </c>
      <c r="D13" t="s">
        <v>44</v>
      </c>
      <c r="E13" t="s">
        <v>45</v>
      </c>
      <c r="F13" t="s">
        <v>46</v>
      </c>
    </row>
    <row r="14" spans="1:8" x14ac:dyDescent="0.35">
      <c r="A14" t="s">
        <v>42</v>
      </c>
      <c r="B14">
        <v>1</v>
      </c>
      <c r="C14">
        <v>3.7500000000000012E-2</v>
      </c>
      <c r="D14">
        <v>0.1125</v>
      </c>
      <c r="E14">
        <v>0.15</v>
      </c>
      <c r="F14">
        <v>3.7500000000000012E-2</v>
      </c>
    </row>
    <row r="15" spans="1:8" x14ac:dyDescent="0.35">
      <c r="A15" t="s">
        <v>43</v>
      </c>
      <c r="B15">
        <v>3.7500000000000012E-2</v>
      </c>
      <c r="C15">
        <v>1</v>
      </c>
      <c r="D15">
        <v>0.15</v>
      </c>
      <c r="E15">
        <v>0.1875</v>
      </c>
      <c r="F15">
        <v>3.7500000000000012E-2</v>
      </c>
    </row>
    <row r="16" spans="1:8" x14ac:dyDescent="0.35">
      <c r="A16" t="s">
        <v>44</v>
      </c>
      <c r="B16">
        <v>0.1125</v>
      </c>
      <c r="C16">
        <v>0.15</v>
      </c>
      <c r="D16">
        <v>1</v>
      </c>
      <c r="E16">
        <v>0.1875</v>
      </c>
      <c r="F16">
        <v>3.7500000000000012E-2</v>
      </c>
    </row>
    <row r="17" spans="1:11" x14ac:dyDescent="0.35">
      <c r="A17" t="s">
        <v>45</v>
      </c>
      <c r="B17">
        <v>0.15</v>
      </c>
      <c r="C17">
        <v>0.1875</v>
      </c>
      <c r="D17">
        <v>0.1875</v>
      </c>
      <c r="E17">
        <v>1</v>
      </c>
      <c r="F17">
        <v>3.7500000000000012E-2</v>
      </c>
    </row>
    <row r="18" spans="1:11" x14ac:dyDescent="0.35">
      <c r="A18" t="s">
        <v>46</v>
      </c>
      <c r="B18">
        <v>3.7500000000000012E-2</v>
      </c>
      <c r="C18">
        <v>3.7500000000000012E-2</v>
      </c>
      <c r="D18">
        <v>3.7500000000000012E-2</v>
      </c>
      <c r="E18">
        <v>3.7500000000000012E-2</v>
      </c>
      <c r="F18">
        <v>1</v>
      </c>
    </row>
    <row r="21" spans="1:11" x14ac:dyDescent="0.35">
      <c r="A21" t="s">
        <v>47</v>
      </c>
    </row>
    <row r="22" spans="1:11" x14ac:dyDescent="0.35">
      <c r="B22" t="s">
        <v>48</v>
      </c>
      <c r="C22" t="s">
        <v>49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 t="s">
        <v>55</v>
      </c>
      <c r="J22" t="s">
        <v>56</v>
      </c>
      <c r="K22" t="s">
        <v>57</v>
      </c>
    </row>
    <row r="23" spans="1:11" x14ac:dyDescent="0.35">
      <c r="A23" t="s">
        <v>48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49</v>
      </c>
      <c r="B24">
        <v>0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50</v>
      </c>
      <c r="B25">
        <v>0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52</v>
      </c>
      <c r="B27">
        <v>0</v>
      </c>
      <c r="C27">
        <v>0</v>
      </c>
      <c r="D27">
        <v>0</v>
      </c>
      <c r="E27">
        <v>0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">
        <v>53</v>
      </c>
      <c r="B28">
        <v>0</v>
      </c>
      <c r="C28">
        <v>0</v>
      </c>
      <c r="D28">
        <v>0</v>
      </c>
      <c r="E28">
        <v>0</v>
      </c>
      <c r="F28">
        <v>0</v>
      </c>
      <c r="G28">
        <v>1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 t="s">
        <v>54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</row>
    <row r="30" spans="1:11" x14ac:dyDescent="0.35">
      <c r="A30" t="s">
        <v>55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</v>
      </c>
      <c r="J30">
        <v>0</v>
      </c>
      <c r="K30">
        <v>0</v>
      </c>
    </row>
    <row r="31" spans="1:11" x14ac:dyDescent="0.35">
      <c r="A31" t="s">
        <v>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</row>
    <row r="32" spans="1:11" x14ac:dyDescent="0.35">
      <c r="A32" t="s">
        <v>57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</row>
    <row r="35" spans="1:5" x14ac:dyDescent="0.35">
      <c r="A35" t="s">
        <v>58</v>
      </c>
    </row>
    <row r="36" spans="1:5" x14ac:dyDescent="0.35">
      <c r="B36" t="s">
        <v>59</v>
      </c>
      <c r="C36" t="s">
        <v>60</v>
      </c>
      <c r="D36" t="s">
        <v>61</v>
      </c>
      <c r="E36" t="s">
        <v>62</v>
      </c>
    </row>
    <row r="37" spans="1:5" x14ac:dyDescent="0.35">
      <c r="A37" t="s">
        <v>59</v>
      </c>
      <c r="B37">
        <v>1</v>
      </c>
      <c r="C37">
        <v>0.1125</v>
      </c>
      <c r="D37">
        <v>0.1125</v>
      </c>
      <c r="E37">
        <v>0.33750000000000002</v>
      </c>
    </row>
    <row r="38" spans="1:5" x14ac:dyDescent="0.35">
      <c r="A38" t="s">
        <v>60</v>
      </c>
      <c r="B38">
        <v>0.1125</v>
      </c>
      <c r="C38">
        <v>1</v>
      </c>
      <c r="D38">
        <v>0.1125</v>
      </c>
      <c r="E38">
        <v>0.33750000000000002</v>
      </c>
    </row>
    <row r="39" spans="1:5" x14ac:dyDescent="0.35">
      <c r="A39" t="s">
        <v>61</v>
      </c>
      <c r="B39">
        <v>0.1125</v>
      </c>
      <c r="C39">
        <v>0.1125</v>
      </c>
      <c r="D39">
        <v>1</v>
      </c>
      <c r="E39">
        <v>0.33750000000000002</v>
      </c>
    </row>
    <row r="40" spans="1:5" x14ac:dyDescent="0.35">
      <c r="A40" t="s">
        <v>62</v>
      </c>
      <c r="B40">
        <v>0.33750000000000002</v>
      </c>
      <c r="C40">
        <v>0.33750000000000002</v>
      </c>
      <c r="D40">
        <v>0.33750000000000002</v>
      </c>
      <c r="E40">
        <v>1</v>
      </c>
    </row>
    <row r="43" spans="1:5" x14ac:dyDescent="0.35">
      <c r="A43" t="s">
        <v>63</v>
      </c>
    </row>
    <row r="44" spans="1:5" x14ac:dyDescent="0.35">
      <c r="B44" t="s">
        <v>64</v>
      </c>
      <c r="C44" t="s">
        <v>65</v>
      </c>
    </row>
    <row r="45" spans="1:5" x14ac:dyDescent="0.35">
      <c r="A45" t="s">
        <v>64</v>
      </c>
      <c r="B45">
        <v>1</v>
      </c>
      <c r="C45">
        <v>0.375</v>
      </c>
    </row>
    <row r="46" spans="1:5" x14ac:dyDescent="0.35">
      <c r="A46" t="s">
        <v>65</v>
      </c>
      <c r="B46">
        <v>0.375</v>
      </c>
      <c r="C46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tabSelected="1" workbookViewId="0">
      <selection sqref="A1:G9"/>
    </sheetView>
  </sheetViews>
  <sheetFormatPr defaultColWidth="12.1796875" defaultRowHeight="14.5" x14ac:dyDescent="0.35"/>
  <cols>
    <col min="4" max="4" width="19.90625" customWidth="1"/>
    <col min="5" max="5" width="13.6328125" bestFit="1" customWidth="1"/>
    <col min="6" max="6" width="18.81640625" customWidth="1"/>
  </cols>
  <sheetData>
    <row r="1" spans="1:7" x14ac:dyDescent="0.3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</row>
    <row r="2" spans="1:7" x14ac:dyDescent="0.35">
      <c r="A2" t="s">
        <v>17</v>
      </c>
      <c r="B2" t="s">
        <v>18</v>
      </c>
      <c r="C2">
        <v>7</v>
      </c>
      <c r="D2" s="2">
        <v>6054171.6835074248</v>
      </c>
      <c r="E2" s="2">
        <v>9049180.944609331</v>
      </c>
      <c r="F2" t="b">
        <v>0</v>
      </c>
      <c r="G2" t="s">
        <v>66</v>
      </c>
    </row>
    <row r="3" spans="1:7" x14ac:dyDescent="0.35">
      <c r="A3" t="s">
        <v>17</v>
      </c>
      <c r="B3" t="s">
        <v>20</v>
      </c>
      <c r="C3">
        <v>5</v>
      </c>
      <c r="D3" s="2">
        <v>365977.79793715692</v>
      </c>
      <c r="E3" s="2">
        <v>549300.07297134062</v>
      </c>
      <c r="F3" t="b">
        <v>0</v>
      </c>
      <c r="G3" t="s">
        <v>66</v>
      </c>
    </row>
    <row r="4" spans="1:7" s="3" customFormat="1" x14ac:dyDescent="0.35">
      <c r="A4" s="3" t="s">
        <v>17</v>
      </c>
      <c r="B4" s="3" t="s">
        <v>21</v>
      </c>
      <c r="C4" s="3">
        <v>10</v>
      </c>
      <c r="D4" s="4">
        <v>14883527.092479549</v>
      </c>
      <c r="E4" s="4">
        <v>14883527.092479549</v>
      </c>
      <c r="F4" s="3" t="b">
        <v>0</v>
      </c>
      <c r="G4" s="3" t="s">
        <v>66</v>
      </c>
    </row>
    <row r="5" spans="1:7" x14ac:dyDescent="0.35">
      <c r="A5" t="s">
        <v>17</v>
      </c>
      <c r="B5" t="s">
        <v>22</v>
      </c>
      <c r="C5">
        <v>4</v>
      </c>
      <c r="D5" s="2">
        <v>6240953.4750691</v>
      </c>
      <c r="E5" s="2">
        <v>6481793.4059253698</v>
      </c>
      <c r="F5" t="b">
        <v>0</v>
      </c>
      <c r="G5" t="s">
        <v>66</v>
      </c>
    </row>
    <row r="6" spans="1:7" x14ac:dyDescent="0.35">
      <c r="A6" t="s">
        <v>17</v>
      </c>
      <c r="B6" t="s">
        <v>23</v>
      </c>
      <c r="C6">
        <v>1</v>
      </c>
      <c r="D6" s="2">
        <v>1447270.8043935669</v>
      </c>
      <c r="E6" s="2">
        <v>1447270.8043935669</v>
      </c>
      <c r="F6" t="b">
        <v>0</v>
      </c>
      <c r="G6" t="s">
        <v>66</v>
      </c>
    </row>
    <row r="7" spans="1:7" x14ac:dyDescent="0.35">
      <c r="A7" t="s">
        <v>17</v>
      </c>
      <c r="B7" t="s">
        <v>24</v>
      </c>
      <c r="C7">
        <v>2</v>
      </c>
      <c r="D7" s="2">
        <v>18696652.700885531</v>
      </c>
      <c r="E7" s="2">
        <v>17509940.70277366</v>
      </c>
      <c r="F7" t="b">
        <v>0</v>
      </c>
      <c r="G7" t="s">
        <v>66</v>
      </c>
    </row>
    <row r="8" spans="1:7" x14ac:dyDescent="0.35">
      <c r="A8" t="s">
        <v>25</v>
      </c>
      <c r="B8" t="s">
        <v>22</v>
      </c>
      <c r="C8">
        <v>1</v>
      </c>
      <c r="D8" s="2">
        <v>3148466.3926162142</v>
      </c>
      <c r="E8" s="2">
        <v>3148466.3926162142</v>
      </c>
      <c r="F8" t="b">
        <v>0</v>
      </c>
      <c r="G8" t="s">
        <v>66</v>
      </c>
    </row>
    <row r="9" spans="1:7" x14ac:dyDescent="0.35">
      <c r="A9" t="s">
        <v>25</v>
      </c>
      <c r="B9" t="s">
        <v>24</v>
      </c>
      <c r="C9">
        <v>1</v>
      </c>
      <c r="D9" s="2">
        <v>356.52542965319373</v>
      </c>
      <c r="E9" s="2">
        <v>356.52542965319373</v>
      </c>
      <c r="F9" t="b">
        <v>0</v>
      </c>
      <c r="G9" t="s">
        <v>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H33"/>
  <sheetViews>
    <sheetView workbookViewId="0">
      <selection sqref="A1:H33"/>
    </sheetView>
  </sheetViews>
  <sheetFormatPr defaultRowHeight="14.5" x14ac:dyDescent="0.35"/>
  <cols>
    <col min="5" max="5" width="13.6328125" style="2" bestFit="1" customWidth="1"/>
    <col min="6" max="6" width="21.08984375" style="2" customWidth="1"/>
    <col min="8" max="8" width="13.6328125" bestFit="1" customWidth="1"/>
  </cols>
  <sheetData>
    <row r="1" spans="1:8" x14ac:dyDescent="0.35">
      <c r="A1" s="1" t="s">
        <v>16</v>
      </c>
      <c r="B1" s="1" t="s">
        <v>10</v>
      </c>
      <c r="C1" s="1" t="s">
        <v>11</v>
      </c>
      <c r="D1" s="1" t="s">
        <v>26</v>
      </c>
      <c r="E1" s="5" t="s">
        <v>27</v>
      </c>
      <c r="F1" s="5" t="s">
        <v>28</v>
      </c>
      <c r="G1" s="1" t="s">
        <v>29</v>
      </c>
      <c r="H1" s="6" t="s">
        <v>68</v>
      </c>
    </row>
    <row r="2" spans="1:8" hidden="1" x14ac:dyDescent="0.35">
      <c r="A2" t="s">
        <v>66</v>
      </c>
      <c r="B2" t="s">
        <v>17</v>
      </c>
      <c r="C2" t="s">
        <v>18</v>
      </c>
      <c r="D2">
        <v>2</v>
      </c>
      <c r="E2">
        <v>3891580</v>
      </c>
      <c r="F2">
        <v>3819551.016127992</v>
      </c>
      <c r="G2">
        <v>15</v>
      </c>
    </row>
    <row r="3" spans="1:8" hidden="1" x14ac:dyDescent="0.35">
      <c r="A3" t="s">
        <v>66</v>
      </c>
      <c r="B3" t="s">
        <v>17</v>
      </c>
      <c r="C3" t="s">
        <v>18</v>
      </c>
      <c r="D3">
        <v>5</v>
      </c>
      <c r="E3">
        <v>3152020</v>
      </c>
      <c r="F3">
        <v>2652513.0703240652</v>
      </c>
      <c r="G3">
        <v>15</v>
      </c>
    </row>
    <row r="4" spans="1:8" hidden="1" x14ac:dyDescent="0.35">
      <c r="A4" t="s">
        <v>66</v>
      </c>
      <c r="B4" t="s">
        <v>17</v>
      </c>
      <c r="C4" t="s">
        <v>18</v>
      </c>
      <c r="D4">
        <v>6</v>
      </c>
      <c r="E4">
        <v>1619527.5</v>
      </c>
      <c r="F4">
        <v>1619527.5</v>
      </c>
      <c r="G4">
        <v>3</v>
      </c>
    </row>
    <row r="5" spans="1:8" hidden="1" x14ac:dyDescent="0.35">
      <c r="A5" t="s">
        <v>66</v>
      </c>
      <c r="B5" t="s">
        <v>17</v>
      </c>
      <c r="C5" t="s">
        <v>18</v>
      </c>
      <c r="D5">
        <v>7</v>
      </c>
      <c r="E5">
        <v>1883930</v>
      </c>
      <c r="F5">
        <v>1737960.9035360951</v>
      </c>
      <c r="G5">
        <v>6</v>
      </c>
    </row>
    <row r="6" spans="1:8" hidden="1" x14ac:dyDescent="0.35">
      <c r="A6" t="s">
        <v>66</v>
      </c>
      <c r="B6" t="s">
        <v>17</v>
      </c>
      <c r="C6" t="s">
        <v>18</v>
      </c>
      <c r="D6">
        <v>8</v>
      </c>
      <c r="E6">
        <v>3701880</v>
      </c>
      <c r="F6">
        <v>2760915.5651253168</v>
      </c>
      <c r="G6">
        <v>18</v>
      </c>
    </row>
    <row r="7" spans="1:8" hidden="1" x14ac:dyDescent="0.35">
      <c r="A7" t="s">
        <v>66</v>
      </c>
      <c r="B7" t="s">
        <v>17</v>
      </c>
      <c r="C7" t="s">
        <v>18</v>
      </c>
      <c r="D7">
        <v>9</v>
      </c>
      <c r="E7">
        <v>704575</v>
      </c>
      <c r="F7">
        <v>560498.29393139109</v>
      </c>
      <c r="G7">
        <v>6</v>
      </c>
    </row>
    <row r="8" spans="1:8" hidden="1" x14ac:dyDescent="0.35">
      <c r="A8" t="s">
        <v>66</v>
      </c>
      <c r="B8" t="s">
        <v>17</v>
      </c>
      <c r="C8" t="s">
        <v>18</v>
      </c>
      <c r="D8">
        <v>10</v>
      </c>
      <c r="E8">
        <v>1605572.5</v>
      </c>
      <c r="F8">
        <v>1203332.3313246639</v>
      </c>
      <c r="G8">
        <v>12</v>
      </c>
    </row>
    <row r="9" spans="1:8" hidden="1" x14ac:dyDescent="0.35">
      <c r="A9" t="s">
        <v>66</v>
      </c>
      <c r="B9" t="s">
        <v>17</v>
      </c>
      <c r="C9" t="s">
        <v>20</v>
      </c>
      <c r="D9">
        <v>3</v>
      </c>
      <c r="E9">
        <v>-136195.23068475991</v>
      </c>
      <c r="F9">
        <v>100601.245382115</v>
      </c>
      <c r="G9">
        <v>6</v>
      </c>
    </row>
    <row r="10" spans="1:8" hidden="1" x14ac:dyDescent="0.35">
      <c r="A10" t="s">
        <v>66</v>
      </c>
      <c r="B10" t="s">
        <v>17</v>
      </c>
      <c r="C10" t="s">
        <v>20</v>
      </c>
      <c r="D10">
        <v>4</v>
      </c>
      <c r="E10">
        <v>-328663.75158985239</v>
      </c>
      <c r="F10">
        <v>208744.73071933899</v>
      </c>
      <c r="G10">
        <v>18</v>
      </c>
    </row>
    <row r="11" spans="1:8" hidden="1" x14ac:dyDescent="0.35">
      <c r="A11" t="s">
        <v>66</v>
      </c>
      <c r="B11" t="s">
        <v>17</v>
      </c>
      <c r="C11" t="s">
        <v>20</v>
      </c>
      <c r="D11">
        <v>5</v>
      </c>
      <c r="E11">
        <v>-312046.1054888221</v>
      </c>
      <c r="F11">
        <v>219632.0469047041</v>
      </c>
      <c r="G11">
        <v>12</v>
      </c>
    </row>
    <row r="12" spans="1:8" hidden="1" x14ac:dyDescent="0.35">
      <c r="A12" t="s">
        <v>66</v>
      </c>
      <c r="B12" t="s">
        <v>17</v>
      </c>
      <c r="C12" t="s">
        <v>20</v>
      </c>
      <c r="D12">
        <v>6</v>
      </c>
      <c r="E12">
        <v>-269546.72280388762</v>
      </c>
      <c r="F12">
        <v>169067.9766980015</v>
      </c>
      <c r="G12">
        <v>21</v>
      </c>
    </row>
    <row r="13" spans="1:8" hidden="1" x14ac:dyDescent="0.35">
      <c r="A13" t="s">
        <v>66</v>
      </c>
      <c r="B13" t="s">
        <v>17</v>
      </c>
      <c r="C13" t="s">
        <v>20</v>
      </c>
      <c r="D13">
        <v>7</v>
      </c>
      <c r="E13">
        <v>-81289.082937842919</v>
      </c>
      <c r="F13">
        <v>58502.637847386897</v>
      </c>
      <c r="G13">
        <v>9</v>
      </c>
    </row>
    <row r="14" spans="1:8" x14ac:dyDescent="0.35">
      <c r="A14" t="s">
        <v>66</v>
      </c>
      <c r="B14" t="s">
        <v>17</v>
      </c>
      <c r="C14" t="s">
        <v>21</v>
      </c>
      <c r="D14">
        <v>1</v>
      </c>
      <c r="E14" s="2">
        <v>-846905.66391080618</v>
      </c>
      <c r="F14" s="2">
        <v>827212.87982857914</v>
      </c>
      <c r="G14">
        <v>3</v>
      </c>
      <c r="H14">
        <f>POWER(F14,2)</f>
        <v>684281148554.29126</v>
      </c>
    </row>
    <row r="15" spans="1:8" x14ac:dyDescent="0.35">
      <c r="A15" t="s">
        <v>66</v>
      </c>
      <c r="B15" t="s">
        <v>17</v>
      </c>
      <c r="C15" t="s">
        <v>21</v>
      </c>
      <c r="D15">
        <v>4</v>
      </c>
      <c r="E15" s="2">
        <v>-13674118.372000759</v>
      </c>
      <c r="F15" s="4">
        <v>12446586.08301197</v>
      </c>
      <c r="G15">
        <v>10</v>
      </c>
      <c r="H15">
        <f t="shared" ref="H15:H23" si="0">POWER(F15,2)</f>
        <v>154917505121827.25</v>
      </c>
    </row>
    <row r="16" spans="1:8" x14ac:dyDescent="0.35">
      <c r="A16" t="s">
        <v>66</v>
      </c>
      <c r="B16" t="s">
        <v>17</v>
      </c>
      <c r="C16" t="s">
        <v>21</v>
      </c>
      <c r="D16">
        <v>6</v>
      </c>
      <c r="E16" s="2">
        <v>-6945159.0182232866</v>
      </c>
      <c r="F16" s="2">
        <v>5664584.0482021496</v>
      </c>
      <c r="G16">
        <v>6</v>
      </c>
      <c r="H16">
        <f t="shared" si="0"/>
        <v>32087512439146.254</v>
      </c>
    </row>
    <row r="17" spans="1:8" x14ac:dyDescent="0.35">
      <c r="A17" t="s">
        <v>66</v>
      </c>
      <c r="B17" t="s">
        <v>17</v>
      </c>
      <c r="C17" t="s">
        <v>21</v>
      </c>
      <c r="D17">
        <v>7</v>
      </c>
      <c r="E17" s="2">
        <v>-1069821.414162219</v>
      </c>
      <c r="F17" s="2">
        <v>1011005.813336056</v>
      </c>
      <c r="G17">
        <v>4</v>
      </c>
      <c r="H17">
        <f t="shared" si="0"/>
        <v>1022132754599.3</v>
      </c>
    </row>
    <row r="18" spans="1:8" x14ac:dyDescent="0.35">
      <c r="A18" t="s">
        <v>66</v>
      </c>
      <c r="B18" t="s">
        <v>17</v>
      </c>
      <c r="C18" t="s">
        <v>21</v>
      </c>
      <c r="D18">
        <v>8</v>
      </c>
      <c r="E18" s="2">
        <v>-4707523.9205783606</v>
      </c>
      <c r="F18" s="2">
        <v>4403886.5890994482</v>
      </c>
      <c r="G18">
        <v>4</v>
      </c>
      <c r="H18">
        <f t="shared" si="0"/>
        <v>19394217089649.973</v>
      </c>
    </row>
    <row r="19" spans="1:8" x14ac:dyDescent="0.35">
      <c r="A19" t="s">
        <v>66</v>
      </c>
      <c r="B19" t="s">
        <v>17</v>
      </c>
      <c r="C19" t="s">
        <v>21</v>
      </c>
      <c r="D19">
        <v>9</v>
      </c>
      <c r="E19" s="2">
        <v>-199887.93445585761</v>
      </c>
      <c r="F19" s="2">
        <v>269019.98167045682</v>
      </c>
      <c r="G19">
        <v>6</v>
      </c>
      <c r="H19">
        <f t="shared" si="0"/>
        <v>72371750537.972931</v>
      </c>
    </row>
    <row r="20" spans="1:8" x14ac:dyDescent="0.35">
      <c r="A20" t="s">
        <v>66</v>
      </c>
      <c r="B20" t="s">
        <v>17</v>
      </c>
      <c r="C20" t="s">
        <v>21</v>
      </c>
      <c r="D20">
        <v>12</v>
      </c>
      <c r="E20" s="2">
        <v>-1950821.595627815</v>
      </c>
      <c r="F20" s="2">
        <v>1846960.7497018371</v>
      </c>
      <c r="G20">
        <v>5</v>
      </c>
      <c r="H20">
        <f t="shared" si="0"/>
        <v>3411264010939.1719</v>
      </c>
    </row>
    <row r="21" spans="1:8" x14ac:dyDescent="0.35">
      <c r="A21" t="s">
        <v>66</v>
      </c>
      <c r="B21" t="s">
        <v>17</v>
      </c>
      <c r="C21" t="s">
        <v>21</v>
      </c>
      <c r="D21">
        <v>14</v>
      </c>
      <c r="E21" s="2">
        <v>-1170403.24422</v>
      </c>
      <c r="F21" s="2">
        <v>969551.75578451122</v>
      </c>
      <c r="G21">
        <v>8</v>
      </c>
      <c r="H21">
        <f t="shared" si="0"/>
        <v>940030607144.82849</v>
      </c>
    </row>
    <row r="22" spans="1:8" x14ac:dyDescent="0.35">
      <c r="A22" t="s">
        <v>66</v>
      </c>
      <c r="B22" t="s">
        <v>17</v>
      </c>
      <c r="C22" t="s">
        <v>21</v>
      </c>
      <c r="D22">
        <v>15</v>
      </c>
      <c r="E22" s="2">
        <v>196432.42565835829</v>
      </c>
      <c r="F22" s="2">
        <v>185600.87030419949</v>
      </c>
      <c r="G22">
        <v>4</v>
      </c>
      <c r="H22">
        <f t="shared" si="0"/>
        <v>34447683057.676277</v>
      </c>
    </row>
    <row r="23" spans="1:8" x14ac:dyDescent="0.35">
      <c r="A23" t="s">
        <v>66</v>
      </c>
      <c r="B23" t="s">
        <v>17</v>
      </c>
      <c r="C23" t="s">
        <v>21</v>
      </c>
      <c r="D23">
        <v>16</v>
      </c>
      <c r="E23" s="2">
        <v>-3663377.1435123868</v>
      </c>
      <c r="F23" s="2">
        <v>2992593.541915779</v>
      </c>
      <c r="G23">
        <v>8</v>
      </c>
      <c r="H23">
        <f t="shared" si="0"/>
        <v>8955616107116.0273</v>
      </c>
    </row>
    <row r="24" spans="1:8" hidden="1" x14ac:dyDescent="0.35">
      <c r="A24" t="s">
        <v>66</v>
      </c>
      <c r="B24" t="s">
        <v>17</v>
      </c>
      <c r="C24" t="s">
        <v>22</v>
      </c>
      <c r="D24">
        <v>5</v>
      </c>
      <c r="E24">
        <v>774226.32299999997</v>
      </c>
      <c r="F24">
        <v>774226.32299999997</v>
      </c>
      <c r="G24">
        <v>1</v>
      </c>
    </row>
    <row r="25" spans="1:8" hidden="1" x14ac:dyDescent="0.35">
      <c r="A25" t="s">
        <v>66</v>
      </c>
      <c r="B25" t="s">
        <v>17</v>
      </c>
      <c r="C25" t="s">
        <v>22</v>
      </c>
      <c r="D25">
        <v>7</v>
      </c>
      <c r="E25">
        <v>227125.18400000001</v>
      </c>
      <c r="F25">
        <v>227125.18400000001</v>
      </c>
      <c r="G25">
        <v>1</v>
      </c>
    </row>
    <row r="26" spans="1:8" hidden="1" x14ac:dyDescent="0.35">
      <c r="A26" t="s">
        <v>66</v>
      </c>
      <c r="B26" t="s">
        <v>17</v>
      </c>
      <c r="C26" t="s">
        <v>22</v>
      </c>
      <c r="D26">
        <v>8</v>
      </c>
      <c r="E26">
        <v>10050426.220000001</v>
      </c>
      <c r="F26">
        <v>6188577.1719208499</v>
      </c>
      <c r="G26">
        <v>8</v>
      </c>
    </row>
    <row r="27" spans="1:8" hidden="1" x14ac:dyDescent="0.35">
      <c r="A27" t="s">
        <v>66</v>
      </c>
      <c r="B27" t="s">
        <v>17</v>
      </c>
      <c r="C27" t="s">
        <v>22</v>
      </c>
      <c r="D27">
        <v>12</v>
      </c>
      <c r="E27">
        <v>-785.31781240423163</v>
      </c>
      <c r="F27">
        <v>785.31781240423163</v>
      </c>
      <c r="G27">
        <v>4</v>
      </c>
    </row>
    <row r="28" spans="1:8" hidden="1" x14ac:dyDescent="0.35">
      <c r="A28" t="s">
        <v>66</v>
      </c>
      <c r="B28" t="s">
        <v>17</v>
      </c>
      <c r="C28" t="s">
        <v>23</v>
      </c>
      <c r="D28" t="s">
        <v>30</v>
      </c>
      <c r="E28">
        <v>-1447270.804393566</v>
      </c>
      <c r="F28">
        <v>1447270.8043935669</v>
      </c>
      <c r="G28">
        <v>4</v>
      </c>
    </row>
    <row r="29" spans="1:8" hidden="1" x14ac:dyDescent="0.35">
      <c r="A29" t="s">
        <v>66</v>
      </c>
      <c r="B29" t="s">
        <v>17</v>
      </c>
      <c r="C29" t="s">
        <v>24</v>
      </c>
      <c r="D29" t="s">
        <v>31</v>
      </c>
      <c r="E29">
        <v>2231172.796177038</v>
      </c>
      <c r="F29">
        <v>1997695.6179391879</v>
      </c>
      <c r="G29">
        <v>34</v>
      </c>
    </row>
    <row r="30" spans="1:8" hidden="1" x14ac:dyDescent="0.35">
      <c r="A30" t="s">
        <v>66</v>
      </c>
      <c r="B30" t="s">
        <v>17</v>
      </c>
      <c r="C30" t="s">
        <v>24</v>
      </c>
      <c r="D30" t="s">
        <v>32</v>
      </c>
      <c r="E30">
        <v>-19257494.9266597</v>
      </c>
      <c r="F30">
        <v>18589621.68618815</v>
      </c>
      <c r="G30">
        <v>211</v>
      </c>
    </row>
    <row r="31" spans="1:8" hidden="1" x14ac:dyDescent="0.35">
      <c r="A31" t="s">
        <v>66</v>
      </c>
      <c r="B31" t="s">
        <v>25</v>
      </c>
      <c r="C31" t="s">
        <v>22</v>
      </c>
      <c r="D31">
        <v>12</v>
      </c>
      <c r="E31">
        <v>-3159511.898233219</v>
      </c>
      <c r="F31">
        <v>3148466.3926162142</v>
      </c>
      <c r="G31">
        <v>5</v>
      </c>
    </row>
    <row r="32" spans="1:8" hidden="1" x14ac:dyDescent="0.35">
      <c r="A32" t="s">
        <v>66</v>
      </c>
      <c r="B32" t="s">
        <v>25</v>
      </c>
      <c r="C32" t="s">
        <v>24</v>
      </c>
      <c r="D32" t="s">
        <v>32</v>
      </c>
      <c r="E32">
        <v>-360.0900887363735</v>
      </c>
      <c r="F32">
        <v>356.52542965319373</v>
      </c>
      <c r="G32">
        <v>12</v>
      </c>
    </row>
    <row r="33" spans="8:8" x14ac:dyDescent="0.35">
      <c r="H33" s="2">
        <f>SQRT(SUM(H14:H23))</f>
        <v>14883527.092479549</v>
      </c>
    </row>
  </sheetData>
  <autoFilter ref="A1:G32" xr:uid="{00000000-0001-0000-0500-000000000000}">
    <filterColumn colId="2">
      <filters>
        <filter val="CSR_SEC_NONCTP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topLeftCell="A17" workbookViewId="0">
      <selection activeCell="C28" sqref="C28"/>
    </sheetView>
  </sheetViews>
  <sheetFormatPr defaultRowHeight="14.5" x14ac:dyDescent="0.35"/>
  <cols>
    <col min="1" max="1" width="22.1796875" customWidth="1"/>
  </cols>
  <sheetData>
    <row r="1" spans="1:8" x14ac:dyDescent="0.35">
      <c r="A1" t="s">
        <v>33</v>
      </c>
    </row>
    <row r="2" spans="1:8" x14ac:dyDescent="0.35">
      <c r="B2" t="s">
        <v>34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</row>
    <row r="3" spans="1:8" x14ac:dyDescent="0.35">
      <c r="A3" t="s">
        <v>34</v>
      </c>
      <c r="B3">
        <v>1</v>
      </c>
      <c r="C3">
        <v>0.2</v>
      </c>
      <c r="D3">
        <v>0.2</v>
      </c>
      <c r="E3">
        <v>0.2</v>
      </c>
      <c r="F3">
        <v>0.2</v>
      </c>
      <c r="G3">
        <v>0.2</v>
      </c>
      <c r="H3">
        <v>0.2</v>
      </c>
    </row>
    <row r="4" spans="1:8" x14ac:dyDescent="0.35">
      <c r="A4" t="s">
        <v>35</v>
      </c>
      <c r="B4">
        <v>0.2</v>
      </c>
      <c r="C4">
        <v>1</v>
      </c>
      <c r="D4">
        <v>0.2</v>
      </c>
      <c r="E4">
        <v>0.2</v>
      </c>
      <c r="F4">
        <v>0.2</v>
      </c>
      <c r="G4">
        <v>0.2</v>
      </c>
      <c r="H4">
        <v>0.2</v>
      </c>
    </row>
    <row r="5" spans="1:8" x14ac:dyDescent="0.35">
      <c r="A5" t="s">
        <v>36</v>
      </c>
      <c r="B5">
        <v>0.2</v>
      </c>
      <c r="C5">
        <v>0.2</v>
      </c>
      <c r="D5">
        <v>1</v>
      </c>
      <c r="E5">
        <v>0.2</v>
      </c>
      <c r="F5">
        <v>0.2</v>
      </c>
      <c r="G5">
        <v>0.2</v>
      </c>
      <c r="H5">
        <v>0.2</v>
      </c>
    </row>
    <row r="6" spans="1:8" x14ac:dyDescent="0.35">
      <c r="A6" t="s">
        <v>37</v>
      </c>
      <c r="B6">
        <v>0.2</v>
      </c>
      <c r="C6">
        <v>0.2</v>
      </c>
      <c r="D6">
        <v>0.2</v>
      </c>
      <c r="E6">
        <v>1</v>
      </c>
      <c r="F6">
        <v>0.2</v>
      </c>
      <c r="G6">
        <v>0.2</v>
      </c>
      <c r="H6">
        <v>0.2</v>
      </c>
    </row>
    <row r="7" spans="1:8" x14ac:dyDescent="0.35">
      <c r="A7" t="s">
        <v>38</v>
      </c>
      <c r="B7">
        <v>0.2</v>
      </c>
      <c r="C7">
        <v>0.2</v>
      </c>
      <c r="D7">
        <v>0.2</v>
      </c>
      <c r="E7">
        <v>0.2</v>
      </c>
      <c r="F7">
        <v>1</v>
      </c>
      <c r="G7">
        <v>0.2</v>
      </c>
      <c r="H7">
        <v>0.2</v>
      </c>
    </row>
    <row r="8" spans="1:8" x14ac:dyDescent="0.35">
      <c r="A8" t="s">
        <v>39</v>
      </c>
      <c r="B8">
        <v>0.2</v>
      </c>
      <c r="C8">
        <v>0.2</v>
      </c>
      <c r="D8">
        <v>0.2</v>
      </c>
      <c r="E8">
        <v>0.2</v>
      </c>
      <c r="F8">
        <v>0.2</v>
      </c>
      <c r="G8">
        <v>1</v>
      </c>
      <c r="H8">
        <v>0.2</v>
      </c>
    </row>
    <row r="9" spans="1:8" x14ac:dyDescent="0.35">
      <c r="A9" t="s">
        <v>40</v>
      </c>
      <c r="B9">
        <v>0.2</v>
      </c>
      <c r="C9">
        <v>0.2</v>
      </c>
      <c r="D9">
        <v>0.2</v>
      </c>
      <c r="E9">
        <v>0.2</v>
      </c>
      <c r="F9">
        <v>0.2</v>
      </c>
      <c r="G9">
        <v>0.2</v>
      </c>
      <c r="H9">
        <v>1</v>
      </c>
    </row>
    <row r="12" spans="1:8" x14ac:dyDescent="0.35">
      <c r="A12" t="s">
        <v>41</v>
      </c>
    </row>
    <row r="13" spans="1:8" x14ac:dyDescent="0.35">
      <c r="B13" t="s">
        <v>42</v>
      </c>
      <c r="C13" t="s">
        <v>43</v>
      </c>
      <c r="D13" t="s">
        <v>44</v>
      </c>
      <c r="E13" t="s">
        <v>45</v>
      </c>
      <c r="F13" t="s">
        <v>46</v>
      </c>
    </row>
    <row r="14" spans="1:8" x14ac:dyDescent="0.35">
      <c r="A14" t="s">
        <v>42</v>
      </c>
      <c r="B14">
        <v>1</v>
      </c>
      <c r="C14">
        <v>0.05</v>
      </c>
      <c r="D14">
        <v>0.15</v>
      </c>
      <c r="E14">
        <v>0.2</v>
      </c>
      <c r="F14">
        <v>0.05</v>
      </c>
    </row>
    <row r="15" spans="1:8" x14ac:dyDescent="0.35">
      <c r="A15" t="s">
        <v>43</v>
      </c>
      <c r="B15">
        <v>0.05</v>
      </c>
      <c r="C15">
        <v>1</v>
      </c>
      <c r="D15">
        <v>0.2</v>
      </c>
      <c r="E15">
        <v>0.25</v>
      </c>
      <c r="F15">
        <v>0.05</v>
      </c>
    </row>
    <row r="16" spans="1:8" x14ac:dyDescent="0.35">
      <c r="A16" t="s">
        <v>44</v>
      </c>
      <c r="B16">
        <v>0.15</v>
      </c>
      <c r="C16">
        <v>0.2</v>
      </c>
      <c r="D16">
        <v>1</v>
      </c>
      <c r="E16">
        <v>0.25</v>
      </c>
      <c r="F16">
        <v>0.05</v>
      </c>
    </row>
    <row r="17" spans="1:11" x14ac:dyDescent="0.35">
      <c r="A17" t="s">
        <v>45</v>
      </c>
      <c r="B17">
        <v>0.2</v>
      </c>
      <c r="C17">
        <v>0.25</v>
      </c>
      <c r="D17">
        <v>0.25</v>
      </c>
      <c r="E17">
        <v>1</v>
      </c>
      <c r="F17">
        <v>0.05</v>
      </c>
    </row>
    <row r="18" spans="1:11" x14ac:dyDescent="0.35">
      <c r="A18" t="s">
        <v>46</v>
      </c>
      <c r="B18">
        <v>0.05</v>
      </c>
      <c r="C18">
        <v>0.05</v>
      </c>
      <c r="D18">
        <v>0.05</v>
      </c>
      <c r="E18">
        <v>0.05</v>
      </c>
      <c r="F18">
        <v>1</v>
      </c>
    </row>
    <row r="21" spans="1:11" x14ac:dyDescent="0.35">
      <c r="A21" t="s">
        <v>47</v>
      </c>
    </row>
    <row r="22" spans="1:11" x14ac:dyDescent="0.35">
      <c r="B22" t="s">
        <v>48</v>
      </c>
      <c r="C22" t="s">
        <v>49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 t="s">
        <v>55</v>
      </c>
      <c r="J22" t="s">
        <v>56</v>
      </c>
      <c r="K22" t="s">
        <v>57</v>
      </c>
    </row>
    <row r="23" spans="1:11" x14ac:dyDescent="0.35">
      <c r="A23" t="s">
        <v>48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49</v>
      </c>
      <c r="B24">
        <v>0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50</v>
      </c>
      <c r="B25">
        <v>0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52</v>
      </c>
      <c r="B27">
        <v>0</v>
      </c>
      <c r="C27">
        <v>0</v>
      </c>
      <c r="D27">
        <v>0</v>
      </c>
      <c r="E27">
        <v>0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">
        <v>53</v>
      </c>
      <c r="B28">
        <v>0</v>
      </c>
      <c r="C28">
        <v>0</v>
      </c>
      <c r="D28">
        <v>0</v>
      </c>
      <c r="E28">
        <v>0</v>
      </c>
      <c r="F28">
        <v>0</v>
      </c>
      <c r="G28">
        <v>1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 t="s">
        <v>54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</row>
    <row r="30" spans="1:11" x14ac:dyDescent="0.35">
      <c r="A30" t="s">
        <v>55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</v>
      </c>
      <c r="J30">
        <v>0</v>
      </c>
      <c r="K30">
        <v>0</v>
      </c>
    </row>
    <row r="31" spans="1:11" x14ac:dyDescent="0.35">
      <c r="A31" t="s">
        <v>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</row>
    <row r="32" spans="1:11" x14ac:dyDescent="0.35">
      <c r="A32" t="s">
        <v>57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</row>
    <row r="35" spans="1:5" x14ac:dyDescent="0.35">
      <c r="A35" t="s">
        <v>58</v>
      </c>
    </row>
    <row r="36" spans="1:5" x14ac:dyDescent="0.35">
      <c r="B36" t="s">
        <v>59</v>
      </c>
      <c r="C36" t="s">
        <v>60</v>
      </c>
      <c r="D36" t="s">
        <v>61</v>
      </c>
      <c r="E36" t="s">
        <v>62</v>
      </c>
    </row>
    <row r="37" spans="1:5" x14ac:dyDescent="0.35">
      <c r="A37" t="s">
        <v>59</v>
      </c>
      <c r="B37">
        <v>1</v>
      </c>
      <c r="C37">
        <v>0.15</v>
      </c>
      <c r="D37">
        <v>0.15</v>
      </c>
      <c r="E37">
        <v>0.45</v>
      </c>
    </row>
    <row r="38" spans="1:5" x14ac:dyDescent="0.35">
      <c r="A38" t="s">
        <v>60</v>
      </c>
      <c r="B38">
        <v>0.15</v>
      </c>
      <c r="C38">
        <v>1</v>
      </c>
      <c r="D38">
        <v>0.15</v>
      </c>
      <c r="E38">
        <v>0.45</v>
      </c>
    </row>
    <row r="39" spans="1:5" x14ac:dyDescent="0.35">
      <c r="A39" t="s">
        <v>61</v>
      </c>
      <c r="B39">
        <v>0.15</v>
      </c>
      <c r="C39">
        <v>0.15</v>
      </c>
      <c r="D39">
        <v>1</v>
      </c>
      <c r="E39">
        <v>0.45</v>
      </c>
    </row>
    <row r="40" spans="1:5" x14ac:dyDescent="0.35">
      <c r="A40" t="s">
        <v>62</v>
      </c>
      <c r="B40">
        <v>0.45</v>
      </c>
      <c r="C40">
        <v>0.45</v>
      </c>
      <c r="D40">
        <v>0.45</v>
      </c>
      <c r="E40">
        <v>1</v>
      </c>
    </row>
    <row r="43" spans="1:5" x14ac:dyDescent="0.35">
      <c r="A43" t="s">
        <v>63</v>
      </c>
    </row>
    <row r="44" spans="1:5" x14ac:dyDescent="0.35">
      <c r="B44" t="s">
        <v>64</v>
      </c>
      <c r="C44" t="s">
        <v>65</v>
      </c>
    </row>
    <row r="45" spans="1:5" x14ac:dyDescent="0.35">
      <c r="A45" t="s">
        <v>64</v>
      </c>
      <c r="B45">
        <v>1</v>
      </c>
      <c r="C45">
        <v>0.5</v>
      </c>
    </row>
    <row r="46" spans="1:5" x14ac:dyDescent="0.35">
      <c r="A46" t="s">
        <v>65</v>
      </c>
      <c r="B46">
        <v>0.5</v>
      </c>
      <c r="C46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"/>
  <sheetViews>
    <sheetView workbookViewId="0">
      <selection sqref="A1:G9"/>
    </sheetView>
  </sheetViews>
  <sheetFormatPr defaultRowHeight="14.5" x14ac:dyDescent="0.35"/>
  <cols>
    <col min="4" max="4" width="24" customWidth="1"/>
    <col min="5" max="5" width="20.1796875" customWidth="1"/>
  </cols>
  <sheetData>
    <row r="1" spans="1:7" x14ac:dyDescent="0.3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</row>
    <row r="2" spans="1:7" x14ac:dyDescent="0.35">
      <c r="A2" t="s">
        <v>17</v>
      </c>
      <c r="B2" t="s">
        <v>18</v>
      </c>
      <c r="C2">
        <v>7</v>
      </c>
      <c r="D2">
        <v>6316445.4634263301</v>
      </c>
      <c r="E2">
        <v>9820429.4476392902</v>
      </c>
      <c r="F2" t="b">
        <v>0</v>
      </c>
      <c r="G2" t="s">
        <v>67</v>
      </c>
    </row>
    <row r="3" spans="1:7" x14ac:dyDescent="0.35">
      <c r="A3" t="s">
        <v>17</v>
      </c>
      <c r="B3" t="s">
        <v>20</v>
      </c>
      <c r="C3">
        <v>5</v>
      </c>
      <c r="D3">
        <v>393628.89141795662</v>
      </c>
      <c r="E3">
        <v>603889.25403435237</v>
      </c>
      <c r="F3" t="b">
        <v>0</v>
      </c>
      <c r="G3" t="s">
        <v>67</v>
      </c>
    </row>
    <row r="4" spans="1:7" x14ac:dyDescent="0.35">
      <c r="A4" t="s">
        <v>17</v>
      </c>
      <c r="B4" t="s">
        <v>21</v>
      </c>
      <c r="C4">
        <v>10</v>
      </c>
      <c r="D4">
        <v>15762548.24514446</v>
      </c>
      <c r="E4">
        <v>15762548.24514446</v>
      </c>
      <c r="F4" t="b">
        <v>0</v>
      </c>
      <c r="G4" t="s">
        <v>67</v>
      </c>
    </row>
    <row r="5" spans="1:7" x14ac:dyDescent="0.35">
      <c r="A5" t="s">
        <v>17</v>
      </c>
      <c r="B5" t="s">
        <v>22</v>
      </c>
      <c r="C5">
        <v>4</v>
      </c>
      <c r="D5">
        <v>6646468.8815852217</v>
      </c>
      <c r="E5">
        <v>6928616.7770184381</v>
      </c>
      <c r="F5" t="b">
        <v>0</v>
      </c>
      <c r="G5" t="s">
        <v>67</v>
      </c>
    </row>
    <row r="6" spans="1:7" x14ac:dyDescent="0.35">
      <c r="A6" t="s">
        <v>17</v>
      </c>
      <c r="B6" t="s">
        <v>23</v>
      </c>
      <c r="C6">
        <v>1</v>
      </c>
      <c r="D6">
        <v>1447270.8043935669</v>
      </c>
      <c r="E6">
        <v>1447270.8043935669</v>
      </c>
      <c r="F6" t="b">
        <v>0</v>
      </c>
      <c r="G6" t="s">
        <v>67</v>
      </c>
    </row>
    <row r="7" spans="1:7" x14ac:dyDescent="0.35">
      <c r="A7" t="s">
        <v>17</v>
      </c>
      <c r="B7" t="s">
        <v>24</v>
      </c>
      <c r="C7">
        <v>2</v>
      </c>
      <c r="D7">
        <v>19220418.785880651</v>
      </c>
      <c r="E7">
        <v>17768398.909328699</v>
      </c>
      <c r="F7" t="b">
        <v>0</v>
      </c>
      <c r="G7" t="s">
        <v>67</v>
      </c>
    </row>
    <row r="8" spans="1:7" x14ac:dyDescent="0.35">
      <c r="A8" t="s">
        <v>25</v>
      </c>
      <c r="B8" t="s">
        <v>22</v>
      </c>
      <c r="C8">
        <v>1</v>
      </c>
      <c r="D8">
        <v>3159511.89823322</v>
      </c>
      <c r="E8">
        <v>3159511.89823322</v>
      </c>
      <c r="F8" t="b">
        <v>0</v>
      </c>
      <c r="G8" t="s">
        <v>67</v>
      </c>
    </row>
    <row r="9" spans="1:7" x14ac:dyDescent="0.35">
      <c r="A9" t="s">
        <v>25</v>
      </c>
      <c r="B9" t="s">
        <v>24</v>
      </c>
      <c r="C9">
        <v>1</v>
      </c>
      <c r="D9">
        <v>360.09008873637362</v>
      </c>
      <c r="E9">
        <v>360.09008873637362</v>
      </c>
      <c r="F9" t="b">
        <v>0</v>
      </c>
      <c r="G9" t="s">
        <v>67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2"/>
  <sheetViews>
    <sheetView workbookViewId="0"/>
  </sheetViews>
  <sheetFormatPr defaultRowHeight="14.5" x14ac:dyDescent="0.35"/>
  <sheetData>
    <row r="1" spans="1:7" x14ac:dyDescent="0.35">
      <c r="A1" s="1" t="s">
        <v>16</v>
      </c>
      <c r="B1" s="1" t="s">
        <v>10</v>
      </c>
      <c r="C1" s="1" t="s">
        <v>11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35">
      <c r="A2" t="s">
        <v>67</v>
      </c>
      <c r="B2" t="s">
        <v>17</v>
      </c>
      <c r="C2" t="s">
        <v>18</v>
      </c>
      <c r="D2">
        <v>2</v>
      </c>
      <c r="E2">
        <v>3891580</v>
      </c>
      <c r="F2">
        <v>3891580</v>
      </c>
      <c r="G2">
        <v>15</v>
      </c>
    </row>
    <row r="3" spans="1:7" x14ac:dyDescent="0.35">
      <c r="A3" t="s">
        <v>67</v>
      </c>
      <c r="B3" t="s">
        <v>17</v>
      </c>
      <c r="C3" t="s">
        <v>18</v>
      </c>
      <c r="D3">
        <v>5</v>
      </c>
      <c r="E3">
        <v>3152020</v>
      </c>
      <c r="F3">
        <v>2850105.659936137</v>
      </c>
      <c r="G3">
        <v>15</v>
      </c>
    </row>
    <row r="4" spans="1:7" x14ac:dyDescent="0.35">
      <c r="A4" t="s">
        <v>67</v>
      </c>
      <c r="B4" t="s">
        <v>17</v>
      </c>
      <c r="C4" t="s">
        <v>18</v>
      </c>
      <c r="D4">
        <v>6</v>
      </c>
      <c r="E4">
        <v>1619527.5</v>
      </c>
      <c r="F4">
        <v>1619527.5</v>
      </c>
      <c r="G4">
        <v>3</v>
      </c>
    </row>
    <row r="5" spans="1:7" x14ac:dyDescent="0.35">
      <c r="A5" t="s">
        <v>67</v>
      </c>
      <c r="B5" t="s">
        <v>17</v>
      </c>
      <c r="C5" t="s">
        <v>18</v>
      </c>
      <c r="D5">
        <v>7</v>
      </c>
      <c r="E5">
        <v>1883930</v>
      </c>
      <c r="F5">
        <v>1783830.2831687769</v>
      </c>
      <c r="G5">
        <v>6</v>
      </c>
    </row>
    <row r="6" spans="1:7" x14ac:dyDescent="0.35">
      <c r="A6" t="s">
        <v>67</v>
      </c>
      <c r="B6" t="s">
        <v>17</v>
      </c>
      <c r="C6" t="s">
        <v>18</v>
      </c>
      <c r="D6">
        <v>8</v>
      </c>
      <c r="E6">
        <v>3701880</v>
      </c>
      <c r="F6">
        <v>2977675.101067998</v>
      </c>
      <c r="G6">
        <v>18</v>
      </c>
    </row>
    <row r="7" spans="1:7" x14ac:dyDescent="0.35">
      <c r="A7" t="s">
        <v>67</v>
      </c>
      <c r="B7" t="s">
        <v>17</v>
      </c>
      <c r="C7" t="s">
        <v>18</v>
      </c>
      <c r="D7">
        <v>9</v>
      </c>
      <c r="E7">
        <v>704575</v>
      </c>
      <c r="F7">
        <v>567626.24573195179</v>
      </c>
      <c r="G7">
        <v>6</v>
      </c>
    </row>
    <row r="8" spans="1:7" x14ac:dyDescent="0.35">
      <c r="A8" t="s">
        <v>67</v>
      </c>
      <c r="B8" t="s">
        <v>17</v>
      </c>
      <c r="C8" t="s">
        <v>18</v>
      </c>
      <c r="D8">
        <v>10</v>
      </c>
      <c r="E8">
        <v>1605572.5</v>
      </c>
      <c r="F8">
        <v>1279186.365807872</v>
      </c>
      <c r="G8">
        <v>12</v>
      </c>
    </row>
    <row r="9" spans="1:7" x14ac:dyDescent="0.35">
      <c r="A9" t="s">
        <v>67</v>
      </c>
      <c r="B9" t="s">
        <v>17</v>
      </c>
      <c r="C9" t="s">
        <v>20</v>
      </c>
      <c r="D9">
        <v>3</v>
      </c>
      <c r="E9">
        <v>-136195.23068475991</v>
      </c>
      <c r="F9">
        <v>106744.94949119769</v>
      </c>
      <c r="G9">
        <v>6</v>
      </c>
    </row>
    <row r="10" spans="1:7" x14ac:dyDescent="0.35">
      <c r="A10" t="s">
        <v>67</v>
      </c>
      <c r="B10" t="s">
        <v>17</v>
      </c>
      <c r="C10" t="s">
        <v>20</v>
      </c>
      <c r="D10">
        <v>4</v>
      </c>
      <c r="E10">
        <v>-328663.75158985239</v>
      </c>
      <c r="F10">
        <v>226042.09716184769</v>
      </c>
      <c r="G10">
        <v>18</v>
      </c>
    </row>
    <row r="11" spans="1:7" x14ac:dyDescent="0.35">
      <c r="A11" t="s">
        <v>67</v>
      </c>
      <c r="B11" t="s">
        <v>17</v>
      </c>
      <c r="C11" t="s">
        <v>20</v>
      </c>
      <c r="D11">
        <v>5</v>
      </c>
      <c r="E11">
        <v>-312046.1054888221</v>
      </c>
      <c r="F11">
        <v>234343.14689429881</v>
      </c>
      <c r="G11">
        <v>12</v>
      </c>
    </row>
    <row r="12" spans="1:7" x14ac:dyDescent="0.35">
      <c r="A12" t="s">
        <v>67</v>
      </c>
      <c r="B12" t="s">
        <v>17</v>
      </c>
      <c r="C12" t="s">
        <v>20</v>
      </c>
      <c r="D12">
        <v>6</v>
      </c>
      <c r="E12">
        <v>-269546.72280388762</v>
      </c>
      <c r="F12">
        <v>183477.92340292339</v>
      </c>
      <c r="G12">
        <v>21</v>
      </c>
    </row>
    <row r="13" spans="1:7" x14ac:dyDescent="0.35">
      <c r="A13" t="s">
        <v>67</v>
      </c>
      <c r="B13" t="s">
        <v>17</v>
      </c>
      <c r="C13" t="s">
        <v>20</v>
      </c>
      <c r="D13">
        <v>7</v>
      </c>
      <c r="E13">
        <v>-81289.082937842919</v>
      </c>
      <c r="F13">
        <v>62236.093668811023</v>
      </c>
      <c r="G13">
        <v>9</v>
      </c>
    </row>
    <row r="14" spans="1:7" x14ac:dyDescent="0.35">
      <c r="A14" t="s">
        <v>67</v>
      </c>
      <c r="B14" t="s">
        <v>17</v>
      </c>
      <c r="C14" t="s">
        <v>21</v>
      </c>
      <c r="D14">
        <v>1</v>
      </c>
      <c r="E14">
        <v>-846905.66391080618</v>
      </c>
      <c r="F14">
        <v>846905.66391080618</v>
      </c>
      <c r="G14">
        <v>3</v>
      </c>
    </row>
    <row r="15" spans="1:7" x14ac:dyDescent="0.35">
      <c r="A15" t="s">
        <v>67</v>
      </c>
      <c r="B15" t="s">
        <v>17</v>
      </c>
      <c r="C15" t="s">
        <v>21</v>
      </c>
      <c r="D15">
        <v>4</v>
      </c>
      <c r="E15">
        <v>-13674118.372000759</v>
      </c>
      <c r="F15">
        <v>13179577.80518348</v>
      </c>
      <c r="G15">
        <v>10</v>
      </c>
    </row>
    <row r="16" spans="1:7" x14ac:dyDescent="0.35">
      <c r="A16" t="s">
        <v>67</v>
      </c>
      <c r="B16" t="s">
        <v>17</v>
      </c>
      <c r="C16" t="s">
        <v>21</v>
      </c>
      <c r="D16">
        <v>6</v>
      </c>
      <c r="E16">
        <v>-6945159.0182232866</v>
      </c>
      <c r="F16">
        <v>5959107.4823942874</v>
      </c>
      <c r="G16">
        <v>6</v>
      </c>
    </row>
    <row r="17" spans="1:7" x14ac:dyDescent="0.35">
      <c r="A17" t="s">
        <v>67</v>
      </c>
      <c r="B17" t="s">
        <v>17</v>
      </c>
      <c r="C17" t="s">
        <v>21</v>
      </c>
      <c r="D17">
        <v>7</v>
      </c>
      <c r="E17">
        <v>-1069821.414162219</v>
      </c>
      <c r="F17">
        <v>1069821.414162219</v>
      </c>
      <c r="G17">
        <v>4</v>
      </c>
    </row>
    <row r="18" spans="1:7" x14ac:dyDescent="0.35">
      <c r="A18" t="s">
        <v>67</v>
      </c>
      <c r="B18" t="s">
        <v>17</v>
      </c>
      <c r="C18" t="s">
        <v>21</v>
      </c>
      <c r="D18">
        <v>8</v>
      </c>
      <c r="E18">
        <v>-4707523.9205783606</v>
      </c>
      <c r="F18">
        <v>4707523.9205783606</v>
      </c>
      <c r="G18">
        <v>4</v>
      </c>
    </row>
    <row r="19" spans="1:7" x14ac:dyDescent="0.35">
      <c r="A19" t="s">
        <v>67</v>
      </c>
      <c r="B19" t="s">
        <v>17</v>
      </c>
      <c r="C19" t="s">
        <v>21</v>
      </c>
      <c r="D19">
        <v>9</v>
      </c>
      <c r="E19">
        <v>-199887.93445585761</v>
      </c>
      <c r="F19">
        <v>267058.36363546009</v>
      </c>
      <c r="G19">
        <v>6</v>
      </c>
    </row>
    <row r="20" spans="1:7" x14ac:dyDescent="0.35">
      <c r="A20" t="s">
        <v>67</v>
      </c>
      <c r="B20" t="s">
        <v>17</v>
      </c>
      <c r="C20" t="s">
        <v>21</v>
      </c>
      <c r="D20">
        <v>12</v>
      </c>
      <c r="E20">
        <v>-1950821.595627815</v>
      </c>
      <c r="F20">
        <v>1950821.595627815</v>
      </c>
      <c r="G20">
        <v>5</v>
      </c>
    </row>
    <row r="21" spans="1:7" x14ac:dyDescent="0.35">
      <c r="A21" t="s">
        <v>67</v>
      </c>
      <c r="B21" t="s">
        <v>17</v>
      </c>
      <c r="C21" t="s">
        <v>21</v>
      </c>
      <c r="D21">
        <v>14</v>
      </c>
      <c r="E21">
        <v>-1170403.24422</v>
      </c>
      <c r="F21">
        <v>1020747.3729397299</v>
      </c>
      <c r="G21">
        <v>8</v>
      </c>
    </row>
    <row r="22" spans="1:7" x14ac:dyDescent="0.35">
      <c r="A22" t="s">
        <v>67</v>
      </c>
      <c r="B22" t="s">
        <v>17</v>
      </c>
      <c r="C22" t="s">
        <v>21</v>
      </c>
      <c r="D22">
        <v>15</v>
      </c>
      <c r="E22">
        <v>196432.42565835829</v>
      </c>
      <c r="F22">
        <v>196432.42565835829</v>
      </c>
      <c r="G22">
        <v>4</v>
      </c>
    </row>
    <row r="23" spans="1:7" x14ac:dyDescent="0.35">
      <c r="A23" t="s">
        <v>67</v>
      </c>
      <c r="B23" t="s">
        <v>17</v>
      </c>
      <c r="C23" t="s">
        <v>21</v>
      </c>
      <c r="D23">
        <v>16</v>
      </c>
      <c r="E23">
        <v>-3663377.1435123868</v>
      </c>
      <c r="F23">
        <v>3203998.9983680742</v>
      </c>
      <c r="G23">
        <v>8</v>
      </c>
    </row>
    <row r="24" spans="1:7" x14ac:dyDescent="0.35">
      <c r="A24" t="s">
        <v>67</v>
      </c>
      <c r="B24" t="s">
        <v>17</v>
      </c>
      <c r="C24" t="s">
        <v>22</v>
      </c>
      <c r="D24">
        <v>5</v>
      </c>
      <c r="E24">
        <v>774226.32299999997</v>
      </c>
      <c r="F24">
        <v>774226.32299999997</v>
      </c>
      <c r="G24">
        <v>1</v>
      </c>
    </row>
    <row r="25" spans="1:7" x14ac:dyDescent="0.35">
      <c r="A25" t="s">
        <v>67</v>
      </c>
      <c r="B25" t="s">
        <v>17</v>
      </c>
      <c r="C25" t="s">
        <v>22</v>
      </c>
      <c r="D25">
        <v>7</v>
      </c>
      <c r="E25">
        <v>227125.18400000001</v>
      </c>
      <c r="F25">
        <v>227125.18400000001</v>
      </c>
      <c r="G25">
        <v>1</v>
      </c>
    </row>
    <row r="26" spans="1:7" x14ac:dyDescent="0.35">
      <c r="A26" t="s">
        <v>67</v>
      </c>
      <c r="B26" t="s">
        <v>17</v>
      </c>
      <c r="C26" t="s">
        <v>22</v>
      </c>
      <c r="D26">
        <v>8</v>
      </c>
      <c r="E26">
        <v>10050426.220000001</v>
      </c>
      <c r="F26">
        <v>6597312.7657193504</v>
      </c>
      <c r="G26">
        <v>8</v>
      </c>
    </row>
    <row r="27" spans="1:7" x14ac:dyDescent="0.35">
      <c r="A27" t="s">
        <v>67</v>
      </c>
      <c r="B27" t="s">
        <v>17</v>
      </c>
      <c r="C27" t="s">
        <v>22</v>
      </c>
      <c r="D27">
        <v>12</v>
      </c>
      <c r="E27">
        <v>-785.31781240423163</v>
      </c>
      <c r="F27">
        <v>785.31781240423163</v>
      </c>
      <c r="G27">
        <v>4</v>
      </c>
    </row>
    <row r="28" spans="1:7" x14ac:dyDescent="0.35">
      <c r="A28" t="s">
        <v>67</v>
      </c>
      <c r="B28" t="s">
        <v>17</v>
      </c>
      <c r="C28" t="s">
        <v>23</v>
      </c>
      <c r="D28" t="s">
        <v>30</v>
      </c>
      <c r="E28">
        <v>-1447270.804393566</v>
      </c>
      <c r="F28">
        <v>1447270.8043935669</v>
      </c>
      <c r="G28">
        <v>4</v>
      </c>
    </row>
    <row r="29" spans="1:7" x14ac:dyDescent="0.35">
      <c r="A29" t="s">
        <v>67</v>
      </c>
      <c r="B29" t="s">
        <v>17</v>
      </c>
      <c r="C29" t="s">
        <v>24</v>
      </c>
      <c r="D29" t="s">
        <v>31</v>
      </c>
      <c r="E29">
        <v>2231172.796177038</v>
      </c>
      <c r="F29">
        <v>1927289.9072006249</v>
      </c>
      <c r="G29">
        <v>34</v>
      </c>
    </row>
    <row r="30" spans="1:7" x14ac:dyDescent="0.35">
      <c r="A30" t="s">
        <v>67</v>
      </c>
      <c r="B30" t="s">
        <v>17</v>
      </c>
      <c r="C30" t="s">
        <v>24</v>
      </c>
      <c r="D30" t="s">
        <v>32</v>
      </c>
      <c r="E30">
        <v>-19257494.9266597</v>
      </c>
      <c r="F30">
        <v>19123547.053782579</v>
      </c>
      <c r="G30">
        <v>211</v>
      </c>
    </row>
    <row r="31" spans="1:7" x14ac:dyDescent="0.35">
      <c r="A31" t="s">
        <v>67</v>
      </c>
      <c r="B31" t="s">
        <v>25</v>
      </c>
      <c r="C31" t="s">
        <v>22</v>
      </c>
      <c r="D31">
        <v>12</v>
      </c>
      <c r="E31">
        <v>-3159511.898233219</v>
      </c>
      <c r="F31">
        <v>3159511.89823322</v>
      </c>
      <c r="G31">
        <v>5</v>
      </c>
    </row>
    <row r="32" spans="1:7" x14ac:dyDescent="0.35">
      <c r="A32" t="s">
        <v>67</v>
      </c>
      <c r="B32" t="s">
        <v>25</v>
      </c>
      <c r="C32" t="s">
        <v>24</v>
      </c>
      <c r="D32" t="s">
        <v>32</v>
      </c>
      <c r="E32">
        <v>-360.0900887363735</v>
      </c>
      <c r="F32">
        <v>360.09008873637362</v>
      </c>
      <c r="G32">
        <v>12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6"/>
  <sheetViews>
    <sheetView workbookViewId="0"/>
  </sheetViews>
  <sheetFormatPr defaultRowHeight="14.5" x14ac:dyDescent="0.35"/>
  <sheetData>
    <row r="1" spans="1:8" x14ac:dyDescent="0.35">
      <c r="A1" t="s">
        <v>33</v>
      </c>
    </row>
    <row r="2" spans="1:8" x14ac:dyDescent="0.35">
      <c r="B2" t="s">
        <v>34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</row>
    <row r="3" spans="1:8" x14ac:dyDescent="0.35">
      <c r="A3" t="s">
        <v>34</v>
      </c>
      <c r="B3">
        <v>1</v>
      </c>
      <c r="C3">
        <v>0.25</v>
      </c>
      <c r="D3">
        <v>0.25</v>
      </c>
      <c r="E3">
        <v>0.25</v>
      </c>
      <c r="F3">
        <v>0.25</v>
      </c>
      <c r="G3">
        <v>0.25</v>
      </c>
      <c r="H3">
        <v>0.25</v>
      </c>
    </row>
    <row r="4" spans="1:8" x14ac:dyDescent="0.35">
      <c r="A4" t="s">
        <v>35</v>
      </c>
      <c r="B4">
        <v>0.25</v>
      </c>
      <c r="C4">
        <v>1</v>
      </c>
      <c r="D4">
        <v>0.25</v>
      </c>
      <c r="E4">
        <v>0.25</v>
      </c>
      <c r="F4">
        <v>0.25</v>
      </c>
      <c r="G4">
        <v>0.25</v>
      </c>
      <c r="H4">
        <v>0.25</v>
      </c>
    </row>
    <row r="5" spans="1:8" x14ac:dyDescent="0.35">
      <c r="A5" t="s">
        <v>36</v>
      </c>
      <c r="B5">
        <v>0.25</v>
      </c>
      <c r="C5">
        <v>0.25</v>
      </c>
      <c r="D5">
        <v>1</v>
      </c>
      <c r="E5">
        <v>0.25</v>
      </c>
      <c r="F5">
        <v>0.25</v>
      </c>
      <c r="G5">
        <v>0.25</v>
      </c>
      <c r="H5">
        <v>0.25</v>
      </c>
    </row>
    <row r="6" spans="1:8" x14ac:dyDescent="0.35">
      <c r="A6" t="s">
        <v>37</v>
      </c>
      <c r="B6">
        <v>0.25</v>
      </c>
      <c r="C6">
        <v>0.25</v>
      </c>
      <c r="D6">
        <v>0.25</v>
      </c>
      <c r="E6">
        <v>1</v>
      </c>
      <c r="F6">
        <v>0.25</v>
      </c>
      <c r="G6">
        <v>0.25</v>
      </c>
      <c r="H6">
        <v>0.25</v>
      </c>
    </row>
    <row r="7" spans="1:8" x14ac:dyDescent="0.35">
      <c r="A7" t="s">
        <v>38</v>
      </c>
      <c r="B7">
        <v>0.25</v>
      </c>
      <c r="C7">
        <v>0.25</v>
      </c>
      <c r="D7">
        <v>0.25</v>
      </c>
      <c r="E7">
        <v>0.25</v>
      </c>
      <c r="F7">
        <v>1</v>
      </c>
      <c r="G7">
        <v>0.25</v>
      </c>
      <c r="H7">
        <v>0.25</v>
      </c>
    </row>
    <row r="8" spans="1:8" x14ac:dyDescent="0.35">
      <c r="A8" t="s">
        <v>39</v>
      </c>
      <c r="B8">
        <v>0.25</v>
      </c>
      <c r="C8">
        <v>0.25</v>
      </c>
      <c r="D8">
        <v>0.25</v>
      </c>
      <c r="E8">
        <v>0.25</v>
      </c>
      <c r="F8">
        <v>0.25</v>
      </c>
      <c r="G8">
        <v>1</v>
      </c>
      <c r="H8">
        <v>0.25</v>
      </c>
    </row>
    <row r="9" spans="1:8" x14ac:dyDescent="0.35">
      <c r="A9" t="s">
        <v>40</v>
      </c>
      <c r="B9">
        <v>0.25</v>
      </c>
      <c r="C9">
        <v>0.25</v>
      </c>
      <c r="D9">
        <v>0.25</v>
      </c>
      <c r="E9">
        <v>0.25</v>
      </c>
      <c r="F9">
        <v>0.25</v>
      </c>
      <c r="G9">
        <v>0.25</v>
      </c>
      <c r="H9">
        <v>1</v>
      </c>
    </row>
    <row r="12" spans="1:8" x14ac:dyDescent="0.35">
      <c r="A12" t="s">
        <v>41</v>
      </c>
    </row>
    <row r="13" spans="1:8" x14ac:dyDescent="0.35">
      <c r="B13" t="s">
        <v>42</v>
      </c>
      <c r="C13" t="s">
        <v>43</v>
      </c>
      <c r="D13" t="s">
        <v>44</v>
      </c>
      <c r="E13" t="s">
        <v>45</v>
      </c>
      <c r="F13" t="s">
        <v>46</v>
      </c>
    </row>
    <row r="14" spans="1:8" x14ac:dyDescent="0.35">
      <c r="A14" t="s">
        <v>42</v>
      </c>
      <c r="B14">
        <v>1</v>
      </c>
      <c r="C14">
        <v>6.25E-2</v>
      </c>
      <c r="D14">
        <v>0.1875</v>
      </c>
      <c r="E14">
        <v>0.25</v>
      </c>
      <c r="F14">
        <v>6.25E-2</v>
      </c>
    </row>
    <row r="15" spans="1:8" x14ac:dyDescent="0.35">
      <c r="A15" t="s">
        <v>43</v>
      </c>
      <c r="B15">
        <v>6.25E-2</v>
      </c>
      <c r="C15">
        <v>1</v>
      </c>
      <c r="D15">
        <v>0.25</v>
      </c>
      <c r="E15">
        <v>0.3125</v>
      </c>
      <c r="F15">
        <v>6.25E-2</v>
      </c>
    </row>
    <row r="16" spans="1:8" x14ac:dyDescent="0.35">
      <c r="A16" t="s">
        <v>44</v>
      </c>
      <c r="B16">
        <v>0.1875</v>
      </c>
      <c r="C16">
        <v>0.25</v>
      </c>
      <c r="D16">
        <v>1</v>
      </c>
      <c r="E16">
        <v>0.3125</v>
      </c>
      <c r="F16">
        <v>6.25E-2</v>
      </c>
    </row>
    <row r="17" spans="1:11" x14ac:dyDescent="0.35">
      <c r="A17" t="s">
        <v>45</v>
      </c>
      <c r="B17">
        <v>0.25</v>
      </c>
      <c r="C17">
        <v>0.3125</v>
      </c>
      <c r="D17">
        <v>0.3125</v>
      </c>
      <c r="E17">
        <v>1</v>
      </c>
      <c r="F17">
        <v>6.25E-2</v>
      </c>
    </row>
    <row r="18" spans="1:11" x14ac:dyDescent="0.35">
      <c r="A18" t="s">
        <v>46</v>
      </c>
      <c r="B18">
        <v>6.25E-2</v>
      </c>
      <c r="C18">
        <v>6.25E-2</v>
      </c>
      <c r="D18">
        <v>6.25E-2</v>
      </c>
      <c r="E18">
        <v>6.25E-2</v>
      </c>
      <c r="F18">
        <v>1</v>
      </c>
    </row>
    <row r="21" spans="1:11" x14ac:dyDescent="0.35">
      <c r="A21" t="s">
        <v>47</v>
      </c>
    </row>
    <row r="22" spans="1:11" x14ac:dyDescent="0.35">
      <c r="B22" t="s">
        <v>48</v>
      </c>
      <c r="C22" t="s">
        <v>49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 t="s">
        <v>55</v>
      </c>
      <c r="J22" t="s">
        <v>56</v>
      </c>
      <c r="K22" t="s">
        <v>57</v>
      </c>
    </row>
    <row r="23" spans="1:11" x14ac:dyDescent="0.35">
      <c r="A23" t="s">
        <v>48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49</v>
      </c>
      <c r="B24">
        <v>0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50</v>
      </c>
      <c r="B25">
        <v>0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52</v>
      </c>
      <c r="B27">
        <v>0</v>
      </c>
      <c r="C27">
        <v>0</v>
      </c>
      <c r="D27">
        <v>0</v>
      </c>
      <c r="E27">
        <v>0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">
        <v>53</v>
      </c>
      <c r="B28">
        <v>0</v>
      </c>
      <c r="C28">
        <v>0</v>
      </c>
      <c r="D28">
        <v>0</v>
      </c>
      <c r="E28">
        <v>0</v>
      </c>
      <c r="F28">
        <v>0</v>
      </c>
      <c r="G28">
        <v>1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 t="s">
        <v>54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</row>
    <row r="30" spans="1:11" x14ac:dyDescent="0.35">
      <c r="A30" t="s">
        <v>55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</v>
      </c>
      <c r="J30">
        <v>0</v>
      </c>
      <c r="K30">
        <v>0</v>
      </c>
    </row>
    <row r="31" spans="1:11" x14ac:dyDescent="0.35">
      <c r="A31" t="s">
        <v>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</row>
    <row r="32" spans="1:11" x14ac:dyDescent="0.35">
      <c r="A32" t="s">
        <v>57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</row>
    <row r="35" spans="1:5" x14ac:dyDescent="0.35">
      <c r="A35" t="s">
        <v>58</v>
      </c>
    </row>
    <row r="36" spans="1:5" x14ac:dyDescent="0.35">
      <c r="B36" t="s">
        <v>59</v>
      </c>
      <c r="C36" t="s">
        <v>60</v>
      </c>
      <c r="D36" t="s">
        <v>61</v>
      </c>
      <c r="E36" t="s">
        <v>62</v>
      </c>
    </row>
    <row r="37" spans="1:5" x14ac:dyDescent="0.35">
      <c r="A37" t="s">
        <v>59</v>
      </c>
      <c r="B37">
        <v>1</v>
      </c>
      <c r="C37">
        <v>0.1875</v>
      </c>
      <c r="D37">
        <v>0.1875</v>
      </c>
      <c r="E37">
        <v>0.5625</v>
      </c>
    </row>
    <row r="38" spans="1:5" x14ac:dyDescent="0.35">
      <c r="A38" t="s">
        <v>60</v>
      </c>
      <c r="B38">
        <v>0.1875</v>
      </c>
      <c r="C38">
        <v>1</v>
      </c>
      <c r="D38">
        <v>0.1875</v>
      </c>
      <c r="E38">
        <v>0.5625</v>
      </c>
    </row>
    <row r="39" spans="1:5" x14ac:dyDescent="0.35">
      <c r="A39" t="s">
        <v>61</v>
      </c>
      <c r="B39">
        <v>0.1875</v>
      </c>
      <c r="C39">
        <v>0.1875</v>
      </c>
      <c r="D39">
        <v>1</v>
      </c>
      <c r="E39">
        <v>0.5625</v>
      </c>
    </row>
    <row r="40" spans="1:5" x14ac:dyDescent="0.35">
      <c r="A40" t="s">
        <v>62</v>
      </c>
      <c r="B40">
        <v>0.5625</v>
      </c>
      <c r="C40">
        <v>0.5625</v>
      </c>
      <c r="D40">
        <v>0.5625</v>
      </c>
      <c r="E40">
        <v>1</v>
      </c>
    </row>
    <row r="43" spans="1:5" x14ac:dyDescent="0.35">
      <c r="A43" t="s">
        <v>63</v>
      </c>
    </row>
    <row r="44" spans="1:5" x14ac:dyDescent="0.35">
      <c r="B44" t="s">
        <v>64</v>
      </c>
      <c r="C44" t="s">
        <v>65</v>
      </c>
    </row>
    <row r="45" spans="1:5" x14ac:dyDescent="0.35">
      <c r="A45" t="s">
        <v>64</v>
      </c>
      <c r="B45">
        <v>1</v>
      </c>
      <c r="C45">
        <v>0.625</v>
      </c>
    </row>
    <row r="46" spans="1:5" x14ac:dyDescent="0.35">
      <c r="A46" t="s">
        <v>65</v>
      </c>
      <c r="B46">
        <v>0.625</v>
      </c>
      <c r="C4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low_summary</vt:lpstr>
      <vt:lpstr>low_bucket_inputs</vt:lpstr>
      <vt:lpstr>low_gamma_matrices</vt:lpstr>
      <vt:lpstr>medium_summary</vt:lpstr>
      <vt:lpstr>medium_bucket_inputs</vt:lpstr>
      <vt:lpstr>medium_gamma_matrices</vt:lpstr>
      <vt:lpstr>high_summary</vt:lpstr>
      <vt:lpstr>high_bucket_inputs</vt:lpstr>
      <vt:lpstr>high_gamma_matrices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2026-04-25T17:43:49Z</dcterms:created>
  <dcterms:modified xsi:type="dcterms:W3CDTF">2026-04-25T20:54:53Z</dcterms:modified>
</cp:coreProperties>
</file>